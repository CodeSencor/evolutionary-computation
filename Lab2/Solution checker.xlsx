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SPA" sheetId="1" state="visible" r:id="rId2"/>
    <sheet name="TSPB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<sst xmlns="http://schemas.openxmlformats.org/spreadsheetml/2006/main" count="19" uniqueCount="7">
  <si>
    <t xml:space="preserve">Node id</t>
  </si>
  <si>
    <t xml:space="preserve">x</t>
  </si>
  <si>
    <t xml:space="preserve">y</t>
  </si>
  <si>
    <t xml:space="preserve">cost</t>
  </si>
  <si>
    <t xml:space="preserve">List of nodes</t>
  </si>
  <si>
    <t xml:space="preserve">Edge length</t>
  </si>
  <si>
    <t xml:space="preserve">Objective function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</si>
</sst>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rgb="FF000000"/>
      <name val="Calibri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38"/>
    </font>
    <font>
      <sz val="10"/>
      <color rgb="FF000000"/>
      <name val="Arial Unicode MS"/>
      <family val="2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4296875" defaultRowHeight="15" zeroHeight="false" outlineLevelRow="0" outlineLevelCol="0"/>
  <sheetData>
    <row r="1" customFormat="false" ht="4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2" t="s">
        <v>1</v>
      </c>
      <c r="H1" s="2" t="s">
        <v>2</v>
      </c>
      <c r="I1" s="2" t="s">
        <v>3</v>
      </c>
      <c r="J1" s="2" t="s">
        <v>5</v>
      </c>
      <c r="K1" s="2" t="s">
        <v>6</v>
      </c>
    </row>
    <row r="2" customFormat="false" ht="15" hidden="false" customHeight="false" outlineLevel="0" collapsed="false">
      <c r="A2" s="1"/>
      <c r="B2" s="1"/>
      <c r="C2" s="1"/>
      <c r="D2" s="1"/>
      <c r="F2" s="2"/>
      <c r="I2" s="3" t="n">
        <f aca="false">SUM(I3:I102)</f>
        <v>95466</v>
      </c>
      <c r="J2" s="3" t="n">
        <f aca="false">SUM(J3:J102)</f>
        <v>158100</v>
      </c>
      <c r="K2" s="3" t="n">
        <f aca="false">I2+J2</f>
        <v>253566</v>
      </c>
    </row>
    <row r="3" customFormat="false" ht="15" hidden="false" customHeight="false" outlineLevel="0" collapsed="false">
      <c r="A3" s="0" t="n">
        <v>0</v>
      </c>
      <c r="B3" s="0" t="n">
        <v>2944</v>
      </c>
      <c r="C3" s="0" t="n">
        <v>497</v>
      </c>
      <c r="D3" s="0" t="n">
        <v>1607</v>
      </c>
      <c r="F3" s="0" t="n">
        <v>140</v>
      </c>
      <c r="G3" s="0" t="n">
        <f aca="false">LOOKUP($F3,$A$3:$A$202,B$3:B$202)</f>
        <v>2005</v>
      </c>
      <c r="H3" s="0" t="n">
        <f aca="false">LOOKUP($F3,$A$3:$A$202,C$3:C$202)</f>
        <v>717</v>
      </c>
      <c r="I3" s="0" t="n">
        <f aca="false">LOOKUP($F3,$A$3:$A$202,D$3:D$202)</f>
        <v>598</v>
      </c>
      <c r="J3" s="0" t="n">
        <f aca="false">INT(SQRT((G3-G4)*(G3-G4)+(H3-H4)*(H3-H4)) +0.5)</f>
        <v>1676</v>
      </c>
    </row>
    <row r="4" customFormat="false" ht="15" hidden="false" customHeight="false" outlineLevel="0" collapsed="false">
      <c r="A4" s="0" t="n">
        <v>1</v>
      </c>
      <c r="B4" s="0" t="n">
        <v>3409</v>
      </c>
      <c r="C4" s="0" t="n">
        <v>1305</v>
      </c>
      <c r="D4" s="0" t="n">
        <v>225</v>
      </c>
      <c r="F4" s="0" t="n">
        <v>108</v>
      </c>
      <c r="G4" s="0" t="n">
        <f aca="false">LOOKUP($F4,$A$3:$A$202,B$3:B$202)</f>
        <v>429</v>
      </c>
      <c r="H4" s="0" t="n">
        <f aca="false">LOOKUP($F4,$A$3:$A$202,C$3:C$202)</f>
        <v>1287</v>
      </c>
      <c r="I4" s="0" t="n">
        <f aca="false">LOOKUP($F4,$A$3:$A$202,D$3:D$202)</f>
        <v>678</v>
      </c>
      <c r="J4" s="0" t="n">
        <f aca="false">INT(SQRT((G4-G5)*(G4-G5)+(H4-H5)*(H4-H5)) +0.5)</f>
        <v>1063</v>
      </c>
    </row>
    <row r="5" customFormat="false" ht="15" hidden="false" customHeight="false" outlineLevel="0" collapsed="false">
      <c r="A5" s="0" t="n">
        <v>2</v>
      </c>
      <c r="B5" s="0" t="n">
        <v>964</v>
      </c>
      <c r="C5" s="0" t="n">
        <v>186</v>
      </c>
      <c r="D5" s="0" t="n">
        <v>387</v>
      </c>
      <c r="F5" s="0" t="n">
        <v>69</v>
      </c>
      <c r="G5" s="0" t="n">
        <f aca="false">LOOKUP($F5,$A$3:$A$202,B$3:B$202)</f>
        <v>301</v>
      </c>
      <c r="H5" s="0" t="n">
        <f aca="false">LOOKUP($F5,$A$3:$A$202,C$3:C$202)</f>
        <v>232</v>
      </c>
      <c r="I5" s="0" t="n">
        <f aca="false">LOOKUP($F5,$A$3:$A$202,D$3:D$202)</f>
        <v>724</v>
      </c>
      <c r="J5" s="0" t="n">
        <f aca="false">INT(SQRT((G5-G6)*(G5-G6)+(H5-H6)*(H5-H6)) +0.5)</f>
        <v>1760</v>
      </c>
    </row>
    <row r="6" customFormat="false" ht="15" hidden="false" customHeight="false" outlineLevel="0" collapsed="false">
      <c r="A6" s="0" t="n">
        <v>3</v>
      </c>
      <c r="B6" s="0" t="n">
        <v>3363</v>
      </c>
      <c r="C6" s="0" t="n">
        <v>1136</v>
      </c>
      <c r="D6" s="0" t="n">
        <v>327</v>
      </c>
      <c r="F6" s="0" t="n">
        <v>18</v>
      </c>
      <c r="G6" s="0" t="n">
        <f aca="false">LOOKUP($F6,$A$3:$A$202,B$3:B$202)</f>
        <v>1504</v>
      </c>
      <c r="H6" s="0" t="n">
        <f aca="false">LOOKUP($F6,$A$3:$A$202,C$3:C$202)</f>
        <v>1517</v>
      </c>
      <c r="I6" s="0" t="n">
        <f aca="false">LOOKUP($F6,$A$3:$A$202,D$3:D$202)</f>
        <v>1650</v>
      </c>
      <c r="J6" s="0" t="n">
        <f aca="false">INT(SQRT((G6-G7)*(G6-G7)+(H6-H7)*(H6-H7)) +0.5)</f>
        <v>1457</v>
      </c>
    </row>
    <row r="7" customFormat="false" ht="15" hidden="false" customHeight="false" outlineLevel="0" collapsed="false">
      <c r="A7" s="0" t="n">
        <v>4</v>
      </c>
      <c r="B7" s="0" t="n">
        <v>1234</v>
      </c>
      <c r="C7" s="0" t="n">
        <v>1436</v>
      </c>
      <c r="D7" s="0" t="n">
        <v>864</v>
      </c>
      <c r="F7" s="0" t="n">
        <v>22</v>
      </c>
      <c r="G7" s="0" t="n">
        <f aca="false">LOOKUP($F7,$A$3:$A$202,B$3:B$202)</f>
        <v>1584</v>
      </c>
      <c r="H7" s="0" t="n">
        <f aca="false">LOOKUP($F7,$A$3:$A$202,C$3:C$202)</f>
        <v>62</v>
      </c>
      <c r="I7" s="0" t="n">
        <f aca="false">LOOKUP($F7,$A$3:$A$202,D$3:D$202)</f>
        <v>1560</v>
      </c>
      <c r="J7" s="0" t="n">
        <f aca="false">INT(SQRT((G7-G8)*(G7-G8)+(H7-H8)*(H7-H8)) +0.5)</f>
        <v>2297</v>
      </c>
    </row>
    <row r="8" customFormat="false" ht="15" hidden="false" customHeight="false" outlineLevel="0" collapsed="false">
      <c r="A8" s="0" t="n">
        <v>5</v>
      </c>
      <c r="B8" s="0" t="n">
        <v>1773</v>
      </c>
      <c r="C8" s="0" t="n">
        <v>1797</v>
      </c>
      <c r="D8" s="0" t="n">
        <v>1188</v>
      </c>
      <c r="F8" s="0" t="n">
        <v>193</v>
      </c>
      <c r="G8" s="0" t="n">
        <f aca="false">LOOKUP($F8,$A$3:$A$202,B$3:B$202)</f>
        <v>3881</v>
      </c>
      <c r="H8" s="0" t="n">
        <f aca="false">LOOKUP($F8,$A$3:$A$202,C$3:C$202)</f>
        <v>101</v>
      </c>
      <c r="I8" s="0" t="n">
        <f aca="false">LOOKUP($F8,$A$3:$A$202,D$3:D$202)</f>
        <v>854</v>
      </c>
      <c r="J8" s="0" t="n">
        <f aca="false">INT(SQRT((G8-G9)*(G8-G9)+(H8-H9)*(H8-H9)) +0.5)</f>
        <v>1846</v>
      </c>
    </row>
    <row r="9" customFormat="false" ht="15" hidden="false" customHeight="false" outlineLevel="0" collapsed="false">
      <c r="A9" s="0" t="n">
        <v>6</v>
      </c>
      <c r="B9" s="0" t="n">
        <v>3837</v>
      </c>
      <c r="C9" s="0" t="n">
        <v>1462</v>
      </c>
      <c r="D9" s="0" t="n">
        <v>1598</v>
      </c>
      <c r="F9" s="0" t="n">
        <v>41</v>
      </c>
      <c r="G9" s="0" t="n">
        <f aca="false">LOOKUP($F9,$A$3:$A$202,B$3:B$202)</f>
        <v>2111</v>
      </c>
      <c r="H9" s="0" t="n">
        <f aca="false">LOOKUP($F9,$A$3:$A$202,C$3:C$202)</f>
        <v>626</v>
      </c>
      <c r="I9" s="0" t="n">
        <f aca="false">LOOKUP($F9,$A$3:$A$202,D$3:D$202)</f>
        <v>1056</v>
      </c>
      <c r="J9" s="0" t="n">
        <f aca="false">INT(SQRT((G9-G10)*(G9-G10)+(H9-H10)*(H9-H10)) +0.5)</f>
        <v>1017</v>
      </c>
    </row>
    <row r="10" customFormat="false" ht="15" hidden="false" customHeight="false" outlineLevel="0" collapsed="false">
      <c r="A10" s="0" t="n">
        <v>7</v>
      </c>
      <c r="B10" s="0" t="n">
        <v>194</v>
      </c>
      <c r="C10" s="0" t="n">
        <v>1930</v>
      </c>
      <c r="D10" s="0" t="n">
        <v>1402</v>
      </c>
      <c r="F10" s="0" t="n">
        <v>139</v>
      </c>
      <c r="G10" s="0" t="n">
        <f aca="false">LOOKUP($F10,$A$3:$A$202,B$3:B$202)</f>
        <v>1721</v>
      </c>
      <c r="H10" s="0" t="n">
        <f aca="false">LOOKUP($F10,$A$3:$A$202,C$3:C$202)</f>
        <v>1565</v>
      </c>
      <c r="I10" s="0" t="n">
        <f aca="false">LOOKUP($F10,$A$3:$A$202,D$3:D$202)</f>
        <v>857</v>
      </c>
      <c r="J10" s="0" t="n">
        <f aca="false">INT(SQRT((G10-G11)*(G10-G11)+(H10-H11)*(H10-H11)) +0.5)</f>
        <v>1867</v>
      </c>
    </row>
    <row r="11" customFormat="false" ht="15" hidden="false" customHeight="false" outlineLevel="0" collapsed="false">
      <c r="A11" s="0" t="n">
        <v>8</v>
      </c>
      <c r="B11" s="0" t="n">
        <v>2792</v>
      </c>
      <c r="C11" s="0" t="n">
        <v>1058</v>
      </c>
      <c r="D11" s="0" t="n">
        <v>873</v>
      </c>
      <c r="F11" s="0" t="n">
        <v>42</v>
      </c>
      <c r="G11" s="0" t="n">
        <f aca="false">LOOKUP($F11,$A$3:$A$202,B$3:B$202)</f>
        <v>3225</v>
      </c>
      <c r="H11" s="0" t="n">
        <f aca="false">LOOKUP($F11,$A$3:$A$202,C$3:C$202)</f>
        <v>458</v>
      </c>
      <c r="I11" s="0" t="n">
        <f aca="false">LOOKUP($F11,$A$3:$A$202,D$3:D$202)</f>
        <v>870</v>
      </c>
      <c r="J11" s="0" t="n">
        <f aca="false">INT(SQRT((G11-G12)*(G11-G12)+(H11-H12)*(H11-H12)) +0.5)</f>
        <v>2585</v>
      </c>
    </row>
    <row r="12" customFormat="false" ht="15" hidden="false" customHeight="false" outlineLevel="0" collapsed="false">
      <c r="A12" s="0" t="n">
        <v>9</v>
      </c>
      <c r="B12" s="0" t="n">
        <v>2552</v>
      </c>
      <c r="C12" s="0" t="n">
        <v>1127</v>
      </c>
      <c r="D12" s="0" t="n">
        <v>383</v>
      </c>
      <c r="F12" s="0" t="n">
        <v>160</v>
      </c>
      <c r="G12" s="0" t="n">
        <f aca="false">LOOKUP($F12,$A$3:$A$202,B$3:B$202)</f>
        <v>692</v>
      </c>
      <c r="H12" s="0" t="n">
        <f aca="false">LOOKUP($F12,$A$3:$A$202,C$3:C$202)</f>
        <v>972</v>
      </c>
      <c r="I12" s="0" t="n">
        <f aca="false">LOOKUP($F12,$A$3:$A$202,D$3:D$202)</f>
        <v>909</v>
      </c>
      <c r="J12" s="0" t="n">
        <f aca="false">INT(SQRT((G12-G13)*(G12-G13)+(H12-H13)*(H12-H13)) +0.5)</f>
        <v>1490</v>
      </c>
    </row>
    <row r="13" customFormat="false" ht="15" hidden="false" customHeight="false" outlineLevel="0" collapsed="false">
      <c r="A13" s="0" t="n">
        <v>10</v>
      </c>
      <c r="B13" s="0" t="n">
        <v>1323</v>
      </c>
      <c r="C13" s="0" t="n">
        <v>205</v>
      </c>
      <c r="D13" s="0" t="n">
        <v>1181</v>
      </c>
      <c r="F13" s="0" t="n">
        <v>177</v>
      </c>
      <c r="G13" s="0" t="n">
        <f aca="false">LOOKUP($F13,$A$3:$A$202,B$3:B$202)</f>
        <v>2180</v>
      </c>
      <c r="H13" s="0" t="n">
        <f aca="false">LOOKUP($F13,$A$3:$A$202,C$3:C$202)</f>
        <v>887</v>
      </c>
      <c r="I13" s="0" t="n">
        <f aca="false">LOOKUP($F13,$A$3:$A$202,D$3:D$202)</f>
        <v>53</v>
      </c>
      <c r="J13" s="0" t="n">
        <f aca="false">INT(SQRT((G13-G14)*(G13-G14)+(H13-H14)*(H13-H14)) +0.5)</f>
        <v>1095</v>
      </c>
    </row>
    <row r="14" customFormat="false" ht="15" hidden="false" customHeight="false" outlineLevel="0" collapsed="false">
      <c r="A14" s="0" t="n">
        <v>11</v>
      </c>
      <c r="B14" s="0" t="n">
        <v>230</v>
      </c>
      <c r="C14" s="0" t="n">
        <v>1080</v>
      </c>
      <c r="D14" s="0" t="n">
        <v>1059</v>
      </c>
      <c r="F14" s="0" t="n">
        <v>10</v>
      </c>
      <c r="G14" s="0" t="n">
        <f aca="false">LOOKUP($F14,$A$3:$A$202,B$3:B$202)</f>
        <v>1323</v>
      </c>
      <c r="H14" s="0" t="n">
        <f aca="false">LOOKUP($F14,$A$3:$A$202,C$3:C$202)</f>
        <v>205</v>
      </c>
      <c r="I14" s="0" t="n">
        <f aca="false">LOOKUP($F14,$A$3:$A$202,D$3:D$202)</f>
        <v>1181</v>
      </c>
      <c r="J14" s="0" t="n">
        <f aca="false">INT(SQRT((G14-G15)*(G14-G15)+(H14-H15)*(H14-H15)) +0.5)</f>
        <v>1243</v>
      </c>
    </row>
    <row r="15" customFormat="false" ht="15" hidden="false" customHeight="false" outlineLevel="0" collapsed="false">
      <c r="A15" s="0" t="n">
        <v>12</v>
      </c>
      <c r="B15" s="0" t="n">
        <v>707</v>
      </c>
      <c r="C15" s="0" t="n">
        <v>875</v>
      </c>
      <c r="D15" s="0" t="n">
        <v>1765</v>
      </c>
      <c r="F15" s="0" t="n">
        <v>190</v>
      </c>
      <c r="G15" s="0" t="n">
        <f aca="false">LOOKUP($F15,$A$3:$A$202,B$3:B$202)</f>
        <v>1909</v>
      </c>
      <c r="H15" s="0" t="n">
        <f aca="false">LOOKUP($F15,$A$3:$A$202,C$3:C$202)</f>
        <v>1301</v>
      </c>
      <c r="I15" s="0" t="n">
        <f aca="false">LOOKUP($F15,$A$3:$A$202,D$3:D$202)</f>
        <v>1689</v>
      </c>
      <c r="J15" s="0" t="n">
        <f aca="false">INT(SQRT((G15-G16)*(G15-G16)+(H15-H16)*(H15-H16)) +0.5)</f>
        <v>688</v>
      </c>
    </row>
    <row r="16" customFormat="false" ht="15" hidden="false" customHeight="false" outlineLevel="0" collapsed="false">
      <c r="A16" s="0" t="n">
        <v>13</v>
      </c>
      <c r="B16" s="0" t="n">
        <v>2682</v>
      </c>
      <c r="C16" s="0" t="n">
        <v>459</v>
      </c>
      <c r="D16" s="0" t="n">
        <v>1670</v>
      </c>
      <c r="F16" s="0" t="n">
        <v>4</v>
      </c>
      <c r="G16" s="0" t="n">
        <f aca="false">LOOKUP($F16,$A$3:$A$202,B$3:B$202)</f>
        <v>1234</v>
      </c>
      <c r="H16" s="0" t="n">
        <f aca="false">LOOKUP($F16,$A$3:$A$202,C$3:C$202)</f>
        <v>1436</v>
      </c>
      <c r="I16" s="0" t="n">
        <f aca="false">LOOKUP($F16,$A$3:$A$202,D$3:D$202)</f>
        <v>864</v>
      </c>
      <c r="J16" s="0" t="n">
        <f aca="false">INT(SQRT((G16-G17)*(G16-G17)+(H16-H17)*(H16-H17)) +0.5)</f>
        <v>561</v>
      </c>
    </row>
    <row r="17" customFormat="false" ht="15" hidden="false" customHeight="false" outlineLevel="0" collapsed="false">
      <c r="A17" s="0" t="n">
        <v>14</v>
      </c>
      <c r="B17" s="0" t="n">
        <v>776</v>
      </c>
      <c r="C17" s="0" t="n">
        <v>1311</v>
      </c>
      <c r="D17" s="0" t="n">
        <v>1756</v>
      </c>
      <c r="F17" s="0" t="n">
        <v>112</v>
      </c>
      <c r="G17" s="0" t="n">
        <f aca="false">LOOKUP($F17,$A$3:$A$202,B$3:B$202)</f>
        <v>1747</v>
      </c>
      <c r="H17" s="0" t="n">
        <f aca="false">LOOKUP($F17,$A$3:$A$202,C$3:C$202)</f>
        <v>1662</v>
      </c>
      <c r="I17" s="0" t="n">
        <f aca="false">LOOKUP($F17,$A$3:$A$202,D$3:D$202)</f>
        <v>782</v>
      </c>
      <c r="J17" s="0" t="n">
        <f aca="false">INT(SQRT((G17-G18)*(G17-G18)+(H17-H18)*(H17-H18)) +0.5)</f>
        <v>1365</v>
      </c>
    </row>
    <row r="18" customFormat="false" ht="15" hidden="false" customHeight="false" outlineLevel="0" collapsed="false">
      <c r="A18" s="0" t="n">
        <v>15</v>
      </c>
      <c r="B18" s="0" t="n">
        <v>2442</v>
      </c>
      <c r="C18" s="0" t="n">
        <v>1511</v>
      </c>
      <c r="D18" s="0" t="n">
        <v>1505</v>
      </c>
      <c r="F18" s="0" t="n">
        <v>184</v>
      </c>
      <c r="G18" s="0" t="n">
        <f aca="false">LOOKUP($F18,$A$3:$A$202,B$3:B$202)</f>
        <v>3112</v>
      </c>
      <c r="H18" s="0" t="n">
        <f aca="false">LOOKUP($F18,$A$3:$A$202,C$3:C$202)</f>
        <v>1665</v>
      </c>
      <c r="I18" s="0" t="n">
        <f aca="false">LOOKUP($F18,$A$3:$A$202,D$3:D$202)</f>
        <v>941</v>
      </c>
      <c r="J18" s="0" t="n">
        <f aca="false">INT(SQRT((G18-G19)*(G18-G19)+(H18-H19)*(H18-H19)) +0.5)</f>
        <v>1029</v>
      </c>
    </row>
    <row r="19" customFormat="false" ht="15" hidden="false" customHeight="false" outlineLevel="0" collapsed="false">
      <c r="A19" s="0" t="n">
        <v>16</v>
      </c>
      <c r="B19" s="0" t="n">
        <v>1681</v>
      </c>
      <c r="C19" s="0" t="n">
        <v>1194</v>
      </c>
      <c r="D19" s="0" t="n">
        <v>416</v>
      </c>
      <c r="F19" s="0" t="n">
        <v>43</v>
      </c>
      <c r="G19" s="0" t="n">
        <f aca="false">LOOKUP($F19,$A$3:$A$202,B$3:B$202)</f>
        <v>3260</v>
      </c>
      <c r="H19" s="0" t="n">
        <f aca="false">LOOKUP($F19,$A$3:$A$202,C$3:C$202)</f>
        <v>647</v>
      </c>
      <c r="I19" s="0" t="n">
        <f aca="false">LOOKUP($F19,$A$3:$A$202,D$3:D$202)</f>
        <v>1098</v>
      </c>
      <c r="J19" s="0" t="n">
        <f aca="false">INT(SQRT((G19-G20)*(G19-G20)+(H19-H20)*(H19-H20)) +0.5)</f>
        <v>3283</v>
      </c>
    </row>
    <row r="20" customFormat="false" ht="15" hidden="false" customHeight="false" outlineLevel="0" collapsed="false">
      <c r="A20" s="0" t="n">
        <v>17</v>
      </c>
      <c r="B20" s="0" t="n">
        <v>3613</v>
      </c>
      <c r="C20" s="0" t="n">
        <v>1868</v>
      </c>
      <c r="D20" s="0" t="n">
        <v>1224</v>
      </c>
      <c r="F20" s="0" t="n">
        <v>116</v>
      </c>
      <c r="G20" s="0" t="n">
        <f aca="false">LOOKUP($F20,$A$3:$A$202,B$3:B$202)</f>
        <v>17</v>
      </c>
      <c r="H20" s="0" t="n">
        <f aca="false">LOOKUP($F20,$A$3:$A$202,C$3:C$202)</f>
        <v>1161</v>
      </c>
      <c r="I20" s="0" t="n">
        <f aca="false">LOOKUP($F20,$A$3:$A$202,D$3:D$202)</f>
        <v>539</v>
      </c>
      <c r="J20" s="0" t="n">
        <f aca="false">INT(SQRT((G20-G21)*(G20-G21)+(H20-H21)*(H20-H21)) +0.5)</f>
        <v>2796</v>
      </c>
    </row>
    <row r="21" customFormat="false" ht="15" hidden="false" customHeight="false" outlineLevel="0" collapsed="false">
      <c r="A21" s="0" t="n">
        <v>18</v>
      </c>
      <c r="B21" s="0" t="n">
        <v>1504</v>
      </c>
      <c r="C21" s="0" t="n">
        <v>1517</v>
      </c>
      <c r="D21" s="0" t="n">
        <v>1650</v>
      </c>
      <c r="F21" s="0" t="n">
        <v>65</v>
      </c>
      <c r="G21" s="0" t="n">
        <f aca="false">LOOKUP($F21,$A$3:$A$202,B$3:B$202)</f>
        <v>2710</v>
      </c>
      <c r="H21" s="0" t="n">
        <f aca="false">LOOKUP($F21,$A$3:$A$202,C$3:C$202)</f>
        <v>409</v>
      </c>
      <c r="I21" s="0" t="n">
        <f aca="false">LOOKUP($F21,$A$3:$A$202,D$3:D$202)</f>
        <v>1286</v>
      </c>
      <c r="J21" s="0" t="n">
        <f aca="false">INT(SQRT((G21-G22)*(G21-G22)+(H21-H22)*(H21-H22)) +0.5)</f>
        <v>2084</v>
      </c>
    </row>
    <row r="22" customFormat="false" ht="15" hidden="false" customHeight="false" outlineLevel="0" collapsed="false">
      <c r="A22" s="0" t="n">
        <v>19</v>
      </c>
      <c r="B22" s="0" t="n">
        <v>3369</v>
      </c>
      <c r="C22" s="0" t="n">
        <v>1928</v>
      </c>
      <c r="D22" s="0" t="n">
        <v>1420</v>
      </c>
      <c r="F22" s="0" t="n">
        <v>123</v>
      </c>
      <c r="G22" s="0" t="n">
        <f aca="false">LOOKUP($F22,$A$3:$A$202,B$3:B$202)</f>
        <v>731</v>
      </c>
      <c r="H22" s="0" t="n">
        <f aca="false">LOOKUP($F22,$A$3:$A$202,C$3:C$202)</f>
        <v>1061</v>
      </c>
      <c r="I22" s="0" t="n">
        <f aca="false">LOOKUP($F22,$A$3:$A$202,D$3:D$202)</f>
        <v>226</v>
      </c>
      <c r="J22" s="0" t="n">
        <f aca="false">INT(SQRT((G22-G23)*(G22-G23)+(H22-H23)*(H22-H23)) +0.5)</f>
        <v>665</v>
      </c>
    </row>
    <row r="23" customFormat="false" ht="15" hidden="false" customHeight="false" outlineLevel="0" collapsed="false">
      <c r="A23" s="0" t="n">
        <v>20</v>
      </c>
      <c r="B23" s="0" t="n">
        <v>2508</v>
      </c>
      <c r="C23" s="0" t="n">
        <v>208</v>
      </c>
      <c r="D23" s="0" t="n">
        <v>1389</v>
      </c>
      <c r="F23" s="0" t="n">
        <v>127</v>
      </c>
      <c r="G23" s="0" t="n">
        <f aca="false">LOOKUP($F23,$A$3:$A$202,B$3:B$202)</f>
        <v>386</v>
      </c>
      <c r="H23" s="0" t="n">
        <f aca="false">LOOKUP($F23,$A$3:$A$202,C$3:C$202)</f>
        <v>492</v>
      </c>
      <c r="I23" s="0" t="n">
        <f aca="false">LOOKUP($F23,$A$3:$A$202,D$3:D$202)</f>
        <v>592</v>
      </c>
      <c r="J23" s="0" t="n">
        <f aca="false">INT(SQRT((G23-G24)*(G23-G24)+(H23-H24)*(H23-H24)) +0.5)</f>
        <v>800</v>
      </c>
    </row>
    <row r="24" customFormat="false" ht="15" hidden="false" customHeight="false" outlineLevel="0" collapsed="false">
      <c r="A24" s="0" t="n">
        <v>21</v>
      </c>
      <c r="B24" s="0" t="n">
        <v>3926</v>
      </c>
      <c r="C24" s="0" t="n">
        <v>1484</v>
      </c>
      <c r="D24" s="0" t="n">
        <v>1337</v>
      </c>
      <c r="F24" s="0" t="n">
        <v>162</v>
      </c>
      <c r="G24" s="0" t="n">
        <f aca="false">LOOKUP($F24,$A$3:$A$202,B$3:B$202)</f>
        <v>985</v>
      </c>
      <c r="H24" s="0" t="n">
        <f aca="false">LOOKUP($F24,$A$3:$A$202,C$3:C$202)</f>
        <v>1022</v>
      </c>
      <c r="I24" s="0" t="n">
        <f aca="false">LOOKUP($F24,$A$3:$A$202,D$3:D$202)</f>
        <v>1250</v>
      </c>
      <c r="J24" s="0" t="n">
        <f aca="false">INT(SQRT((G24-G25)*(G24-G25)+(H24-H25)*(H24-H25)) +0.5)</f>
        <v>2159</v>
      </c>
    </row>
    <row r="25" customFormat="false" ht="15" hidden="false" customHeight="false" outlineLevel="0" collapsed="false">
      <c r="A25" s="0" t="n">
        <v>22</v>
      </c>
      <c r="B25" s="0" t="n">
        <v>1584</v>
      </c>
      <c r="C25" s="0" t="n">
        <v>62</v>
      </c>
      <c r="D25" s="0" t="n">
        <v>1560</v>
      </c>
      <c r="F25" s="0" t="n">
        <v>151</v>
      </c>
      <c r="G25" s="0" t="n">
        <f aca="false">LOOKUP($F25,$A$3:$A$202,B$3:B$202)</f>
        <v>3062</v>
      </c>
      <c r="H25" s="0" t="n">
        <f aca="false">LOOKUP($F25,$A$3:$A$202,C$3:C$202)</f>
        <v>433</v>
      </c>
      <c r="I25" s="0" t="n">
        <f aca="false">LOOKUP($F25,$A$3:$A$202,D$3:D$202)</f>
        <v>621</v>
      </c>
      <c r="J25" s="0" t="n">
        <f aca="false">INT(SQRT((G25-G26)*(G25-G26)+(H25-H26)*(H25-H26)) +0.5)</f>
        <v>1649</v>
      </c>
    </row>
    <row r="26" customFormat="false" ht="15" hidden="false" customHeight="false" outlineLevel="0" collapsed="false">
      <c r="A26" s="0" t="n">
        <v>23</v>
      </c>
      <c r="B26" s="0" t="n">
        <v>1019</v>
      </c>
      <c r="C26" s="0" t="n">
        <v>755</v>
      </c>
      <c r="D26" s="0" t="n">
        <v>1815</v>
      </c>
      <c r="F26" s="0" t="n">
        <v>133</v>
      </c>
      <c r="G26" s="0" t="n">
        <f aca="false">LOOKUP($F26,$A$3:$A$202,B$3:B$202)</f>
        <v>1692</v>
      </c>
      <c r="H26" s="0" t="n">
        <f aca="false">LOOKUP($F26,$A$3:$A$202,C$3:C$202)</f>
        <v>1351</v>
      </c>
      <c r="I26" s="0" t="n">
        <f aca="false">LOOKUP($F26,$A$3:$A$202,D$3:D$202)</f>
        <v>1422</v>
      </c>
      <c r="J26" s="0" t="n">
        <f aca="false">INT(SQRT((G26-G27)*(G26-G27)+(H26-H27)*(H26-H27)) +0.5)</f>
        <v>1004</v>
      </c>
    </row>
    <row r="27" customFormat="false" ht="15" hidden="false" customHeight="false" outlineLevel="0" collapsed="false">
      <c r="A27" s="0" t="n">
        <v>24</v>
      </c>
      <c r="B27" s="0" t="n">
        <v>3125</v>
      </c>
      <c r="C27" s="0" t="n">
        <v>1858</v>
      </c>
      <c r="D27" s="0" t="n">
        <v>1312</v>
      </c>
      <c r="F27" s="0" t="n">
        <v>135</v>
      </c>
      <c r="G27" s="0" t="n">
        <f aca="false">LOOKUP($F27,$A$3:$A$202,B$3:B$202)</f>
        <v>1997</v>
      </c>
      <c r="H27" s="0" t="n">
        <f aca="false">LOOKUP($F27,$A$3:$A$202,C$3:C$202)</f>
        <v>394</v>
      </c>
      <c r="I27" s="0" t="n">
        <f aca="false">LOOKUP($F27,$A$3:$A$202,D$3:D$202)</f>
        <v>110</v>
      </c>
      <c r="J27" s="0" t="n">
        <f aca="false">INT(SQRT((G27-G28)*(G27-G28)+(H27-H28)*(H27-H28)) +0.5)</f>
        <v>1553</v>
      </c>
    </row>
    <row r="28" customFormat="false" ht="15" hidden="false" customHeight="false" outlineLevel="0" collapsed="false">
      <c r="A28" s="0" t="n">
        <v>25</v>
      </c>
      <c r="B28" s="0" t="n">
        <v>1713</v>
      </c>
      <c r="C28" s="0" t="n">
        <v>67</v>
      </c>
      <c r="D28" s="0" t="n">
        <v>1051</v>
      </c>
      <c r="F28" s="0" t="n">
        <v>154</v>
      </c>
      <c r="G28" s="0" t="n">
        <f aca="false">LOOKUP($F28,$A$3:$A$202,B$3:B$202)</f>
        <v>2408</v>
      </c>
      <c r="H28" s="0" t="n">
        <f aca="false">LOOKUP($F28,$A$3:$A$202,C$3:C$202)</f>
        <v>1892</v>
      </c>
      <c r="I28" s="0" t="n">
        <f aca="false">LOOKUP($F28,$A$3:$A$202,D$3:D$202)</f>
        <v>1051</v>
      </c>
      <c r="J28" s="0" t="n">
        <f aca="false">INT(SQRT((G28-G29)*(G28-G29)+(H28-H29)*(H28-H29)) +0.5)</f>
        <v>1519</v>
      </c>
    </row>
    <row r="29" customFormat="false" ht="15" hidden="false" customHeight="false" outlineLevel="0" collapsed="false">
      <c r="A29" s="0" t="n">
        <v>26</v>
      </c>
      <c r="B29" s="0" t="n">
        <v>3959</v>
      </c>
      <c r="C29" s="0" t="n">
        <v>162</v>
      </c>
      <c r="D29" s="0" t="n">
        <v>1320</v>
      </c>
      <c r="F29" s="0" t="n">
        <v>180</v>
      </c>
      <c r="G29" s="0" t="n">
        <f aca="false">LOOKUP($F29,$A$3:$A$202,B$3:B$202)</f>
        <v>1293</v>
      </c>
      <c r="H29" s="0" t="n">
        <f aca="false">LOOKUP($F29,$A$3:$A$202,C$3:C$202)</f>
        <v>860</v>
      </c>
      <c r="I29" s="0" t="n">
        <f aca="false">LOOKUP($F29,$A$3:$A$202,D$3:D$202)</f>
        <v>0</v>
      </c>
      <c r="J29" s="0" t="n">
        <f aca="false">INT(SQRT((G29-G30)*(G29-G30)+(H29-H30)*(H29-H30)) +0.5)</f>
        <v>734</v>
      </c>
    </row>
    <row r="30" customFormat="false" ht="15" hidden="false" customHeight="false" outlineLevel="0" collapsed="false">
      <c r="A30" s="0" t="n">
        <v>27</v>
      </c>
      <c r="B30" s="0" t="n">
        <v>1447</v>
      </c>
      <c r="C30" s="0" t="n">
        <v>402</v>
      </c>
      <c r="D30" s="0" t="n">
        <v>1405</v>
      </c>
      <c r="F30" s="0" t="n">
        <v>53</v>
      </c>
      <c r="G30" s="0" t="n">
        <f aca="false">LOOKUP($F30,$A$3:$A$202,B$3:B$202)</f>
        <v>2025</v>
      </c>
      <c r="H30" s="0" t="n">
        <f aca="false">LOOKUP($F30,$A$3:$A$202,C$3:C$202)</f>
        <v>800</v>
      </c>
      <c r="I30" s="0" t="n">
        <f aca="false">LOOKUP($F30,$A$3:$A$202,D$3:D$202)</f>
        <v>403</v>
      </c>
      <c r="J30" s="0" t="n">
        <f aca="false">INT(SQRT((G30-G31)*(G30-G31)+(H30-H31)*(H30-H31)) +0.5)</f>
        <v>1325</v>
      </c>
    </row>
    <row r="31" customFormat="false" ht="15" hidden="false" customHeight="false" outlineLevel="0" collapsed="false">
      <c r="A31" s="0" t="n">
        <v>28</v>
      </c>
      <c r="B31" s="0" t="n">
        <v>1415</v>
      </c>
      <c r="C31" s="0" t="n">
        <v>796</v>
      </c>
      <c r="D31" s="0" t="n">
        <v>741</v>
      </c>
      <c r="F31" s="0" t="n">
        <v>100</v>
      </c>
      <c r="G31" s="0" t="n">
        <f aca="false">LOOKUP($F31,$A$3:$A$202,B$3:B$202)</f>
        <v>759</v>
      </c>
      <c r="H31" s="0" t="n">
        <f aca="false">LOOKUP($F31,$A$3:$A$202,C$3:C$202)</f>
        <v>1191</v>
      </c>
      <c r="I31" s="0" t="n">
        <f aca="false">LOOKUP($F31,$A$3:$A$202,D$3:D$202)</f>
        <v>949</v>
      </c>
      <c r="J31" s="0" t="n">
        <f aca="false">INT(SQRT((G31-G32)*(G31-G32)+(H31-H32)*(H31-H32)) +0.5)</f>
        <v>3361</v>
      </c>
    </row>
    <row r="32" customFormat="false" ht="15" hidden="false" customHeight="false" outlineLevel="0" collapsed="false">
      <c r="A32" s="0" t="n">
        <v>29</v>
      </c>
      <c r="B32" s="0" t="n">
        <v>3485</v>
      </c>
      <c r="C32" s="0" t="n">
        <v>1936</v>
      </c>
      <c r="D32" s="0" t="n">
        <v>494</v>
      </c>
      <c r="F32" s="0" t="n">
        <v>26</v>
      </c>
      <c r="G32" s="0" t="n">
        <f aca="false">LOOKUP($F32,$A$3:$A$202,B$3:B$202)</f>
        <v>3959</v>
      </c>
      <c r="H32" s="0" t="n">
        <f aca="false">LOOKUP($F32,$A$3:$A$202,C$3:C$202)</f>
        <v>162</v>
      </c>
      <c r="I32" s="0" t="n">
        <f aca="false">LOOKUP($F32,$A$3:$A$202,D$3:D$202)</f>
        <v>1320</v>
      </c>
      <c r="J32" s="0" t="n">
        <f aca="false">INT(SQRT((G32-G33)*(G32-G33)+(H32-H33)*(H32-H33)) +0.5)</f>
        <v>1594</v>
      </c>
    </row>
    <row r="33" customFormat="false" ht="15" hidden="false" customHeight="false" outlineLevel="0" collapsed="false">
      <c r="A33" s="0" t="n">
        <v>30</v>
      </c>
      <c r="B33" s="0" t="n">
        <v>972</v>
      </c>
      <c r="C33" s="0" t="n">
        <v>623</v>
      </c>
      <c r="D33" s="0" t="n">
        <v>347</v>
      </c>
      <c r="F33" s="0" t="n">
        <v>86</v>
      </c>
      <c r="G33" s="0" t="n">
        <f aca="false">LOOKUP($F33,$A$3:$A$202,B$3:B$202)</f>
        <v>3686</v>
      </c>
      <c r="H33" s="0" t="n">
        <f aca="false">LOOKUP($F33,$A$3:$A$202,C$3:C$202)</f>
        <v>1732</v>
      </c>
      <c r="I33" s="0" t="n">
        <f aca="false">LOOKUP($F33,$A$3:$A$202,D$3:D$202)</f>
        <v>1833</v>
      </c>
      <c r="J33" s="0" t="n">
        <f aca="false">INT(SQRT((G33-G34)*(G33-G34)+(H33-H34)*(H33-H34)) +0.5)</f>
        <v>1506</v>
      </c>
    </row>
    <row r="34" customFormat="false" ht="15" hidden="false" customHeight="false" outlineLevel="0" collapsed="false">
      <c r="A34" s="0" t="n">
        <v>31</v>
      </c>
      <c r="B34" s="0" t="n">
        <v>96</v>
      </c>
      <c r="C34" s="0" t="n">
        <v>1879</v>
      </c>
      <c r="D34" s="0" t="n">
        <v>634</v>
      </c>
      <c r="F34" s="0" t="n">
        <v>75</v>
      </c>
      <c r="G34" s="0" t="n">
        <f aca="false">LOOKUP($F34,$A$3:$A$202,B$3:B$202)</f>
        <v>3872</v>
      </c>
      <c r="H34" s="0" t="n">
        <f aca="false">LOOKUP($F34,$A$3:$A$202,C$3:C$202)</f>
        <v>238</v>
      </c>
      <c r="I34" s="0" t="n">
        <f aca="false">LOOKUP($F34,$A$3:$A$202,D$3:D$202)</f>
        <v>1160</v>
      </c>
      <c r="J34" s="0" t="n">
        <f aca="false">INT(SQRT((G34-G35)*(G34-G35)+(H34-H35)*(H34-H35)) +0.5)</f>
        <v>3353</v>
      </c>
    </row>
    <row r="35" customFormat="false" ht="15" hidden="false" customHeight="false" outlineLevel="0" collapsed="false">
      <c r="A35" s="0" t="n">
        <v>32</v>
      </c>
      <c r="B35" s="0" t="n">
        <v>882</v>
      </c>
      <c r="C35" s="0" t="n">
        <v>152</v>
      </c>
      <c r="D35" s="0" t="n">
        <v>1627</v>
      </c>
      <c r="F35" s="0" t="n">
        <v>120</v>
      </c>
      <c r="G35" s="0" t="n">
        <f aca="false">LOOKUP($F35,$A$3:$A$202,B$3:B$202)</f>
        <v>522</v>
      </c>
      <c r="H35" s="0" t="n">
        <f aca="false">LOOKUP($F35,$A$3:$A$202,C$3:C$202)</f>
        <v>381</v>
      </c>
      <c r="I35" s="0" t="n">
        <f aca="false">LOOKUP($F35,$A$3:$A$202,D$3:D$202)</f>
        <v>1577</v>
      </c>
      <c r="J35" s="0" t="n">
        <f aca="false">INT(SQRT((G35-G36)*(G35-G36)+(H35-H36)*(H35-H36)) +0.5)</f>
        <v>894</v>
      </c>
    </row>
    <row r="36" customFormat="false" ht="15" hidden="false" customHeight="false" outlineLevel="0" collapsed="false">
      <c r="A36" s="0" t="n">
        <v>33</v>
      </c>
      <c r="B36" s="0" t="n">
        <v>2374</v>
      </c>
      <c r="C36" s="0" t="n">
        <v>1143</v>
      </c>
      <c r="D36" s="0" t="n">
        <v>248</v>
      </c>
      <c r="F36" s="0" t="n">
        <v>44</v>
      </c>
      <c r="G36" s="0" t="n">
        <f aca="false">LOOKUP($F36,$A$3:$A$202,B$3:B$202)</f>
        <v>844</v>
      </c>
      <c r="H36" s="0" t="n">
        <f aca="false">LOOKUP($F36,$A$3:$A$202,C$3:C$202)</f>
        <v>1215</v>
      </c>
      <c r="I36" s="0" t="n">
        <f aca="false">LOOKUP($F36,$A$3:$A$202,D$3:D$202)</f>
        <v>1659</v>
      </c>
      <c r="J36" s="0" t="n">
        <f aca="false">INT(SQRT((G36-G37)*(G36-G37)+(H36-H37)*(H36-H37)) +0.5)</f>
        <v>1440</v>
      </c>
    </row>
    <row r="37" customFormat="false" ht="15" hidden="false" customHeight="false" outlineLevel="0" collapsed="false">
      <c r="A37" s="0" t="n">
        <v>34</v>
      </c>
      <c r="B37" s="0" t="n">
        <v>2595</v>
      </c>
      <c r="C37" s="0" t="n">
        <v>1621</v>
      </c>
      <c r="D37" s="0" t="n">
        <v>1527</v>
      </c>
      <c r="F37" s="0" t="n">
        <v>25</v>
      </c>
      <c r="G37" s="0" t="n">
        <f aca="false">LOOKUP($F37,$A$3:$A$202,B$3:B$202)</f>
        <v>1713</v>
      </c>
      <c r="H37" s="0" t="n">
        <f aca="false">LOOKUP($F37,$A$3:$A$202,C$3:C$202)</f>
        <v>67</v>
      </c>
      <c r="I37" s="0" t="n">
        <f aca="false">LOOKUP($F37,$A$3:$A$202,D$3:D$202)</f>
        <v>1051</v>
      </c>
      <c r="J37" s="0" t="n">
        <f aca="false">INT(SQRT((G37-G38)*(G37-G38)+(H37-H38)*(H37-H38)) +0.5)</f>
        <v>1127</v>
      </c>
    </row>
    <row r="38" customFormat="false" ht="15" hidden="false" customHeight="false" outlineLevel="0" collapsed="false">
      <c r="A38" s="0" t="n">
        <v>35</v>
      </c>
      <c r="B38" s="0" t="n">
        <v>1583</v>
      </c>
      <c r="C38" s="0" t="n">
        <v>966</v>
      </c>
      <c r="D38" s="0" t="n">
        <v>382</v>
      </c>
      <c r="F38" s="0" t="n">
        <v>16</v>
      </c>
      <c r="G38" s="0" t="n">
        <f aca="false">LOOKUP($F38,$A$3:$A$202,B$3:B$202)</f>
        <v>1681</v>
      </c>
      <c r="H38" s="0" t="n">
        <f aca="false">LOOKUP($F38,$A$3:$A$202,C$3:C$202)</f>
        <v>1194</v>
      </c>
      <c r="I38" s="0" t="n">
        <f aca="false">LOOKUP($F38,$A$3:$A$202,D$3:D$202)</f>
        <v>416</v>
      </c>
      <c r="J38" s="0" t="n">
        <f aca="false">INT(SQRT((G38-G39)*(G38-G39)+(H38-H39)*(H38-H39)) +0.5)</f>
        <v>1287</v>
      </c>
    </row>
    <row r="39" customFormat="false" ht="15" hidden="false" customHeight="false" outlineLevel="0" collapsed="false">
      <c r="A39" s="0" t="n">
        <v>36</v>
      </c>
      <c r="B39" s="0" t="n">
        <v>2271</v>
      </c>
      <c r="C39" s="0" t="n">
        <v>897</v>
      </c>
      <c r="D39" s="0" t="n">
        <v>98</v>
      </c>
      <c r="F39" s="0" t="n">
        <v>171</v>
      </c>
      <c r="G39" s="0" t="n">
        <f aca="false">LOOKUP($F39,$A$3:$A$202,B$3:B$202)</f>
        <v>901</v>
      </c>
      <c r="H39" s="0" t="n">
        <f aca="false">LOOKUP($F39,$A$3:$A$202,C$3:C$202)</f>
        <v>170</v>
      </c>
      <c r="I39" s="0" t="n">
        <f aca="false">LOOKUP($F39,$A$3:$A$202,D$3:D$202)</f>
        <v>497</v>
      </c>
      <c r="J39" s="0" t="n">
        <f aca="false">INT(SQRT((G39-G40)*(G39-G40)+(H39-H40)*(H39-H40)) +0.5)</f>
        <v>2056</v>
      </c>
    </row>
    <row r="40" customFormat="false" ht="15" hidden="false" customHeight="false" outlineLevel="0" collapsed="false">
      <c r="A40" s="0" t="n">
        <v>37</v>
      </c>
      <c r="B40" s="0" t="n">
        <v>3912</v>
      </c>
      <c r="C40" s="0" t="n">
        <v>1039</v>
      </c>
      <c r="D40" s="0" t="n">
        <v>1051</v>
      </c>
      <c r="F40" s="0" t="n">
        <v>175</v>
      </c>
      <c r="G40" s="0" t="n">
        <f aca="false">LOOKUP($F40,$A$3:$A$202,B$3:B$202)</f>
        <v>1929</v>
      </c>
      <c r="H40" s="0" t="n">
        <f aca="false">LOOKUP($F40,$A$3:$A$202,C$3:C$202)</f>
        <v>1950</v>
      </c>
      <c r="I40" s="0" t="n">
        <f aca="false">LOOKUP($F40,$A$3:$A$202,D$3:D$202)</f>
        <v>1160</v>
      </c>
      <c r="J40" s="0" t="n">
        <f aca="false">INT(SQRT((G40-G41)*(G40-G41)+(H40-H41)*(H40-H41)) +0.5)</f>
        <v>1990</v>
      </c>
    </row>
    <row r="41" customFormat="false" ht="15" hidden="false" customHeight="false" outlineLevel="0" collapsed="false">
      <c r="A41" s="0" t="n">
        <v>38</v>
      </c>
      <c r="B41" s="0" t="n">
        <v>836</v>
      </c>
      <c r="C41" s="0" t="n">
        <v>1491</v>
      </c>
      <c r="D41" s="0" t="n">
        <v>961</v>
      </c>
      <c r="F41" s="0" t="n">
        <v>113</v>
      </c>
      <c r="G41" s="0" t="n">
        <f aca="false">LOOKUP($F41,$A$3:$A$202,B$3:B$202)</f>
        <v>3349</v>
      </c>
      <c r="H41" s="0" t="n">
        <f aca="false">LOOKUP($F41,$A$3:$A$202,C$3:C$202)</f>
        <v>556</v>
      </c>
      <c r="I41" s="0" t="n">
        <f aca="false">LOOKUP($F41,$A$3:$A$202,D$3:D$202)</f>
        <v>916</v>
      </c>
      <c r="J41" s="0" t="n">
        <f aca="false">INT(SQRT((G41-G42)*(G41-G42)+(H41-H42)*(H41-H42)) +0.5)</f>
        <v>1115</v>
      </c>
    </row>
    <row r="42" customFormat="false" ht="15" hidden="false" customHeight="false" outlineLevel="0" collapsed="false">
      <c r="A42" s="0" t="n">
        <v>39</v>
      </c>
      <c r="B42" s="0" t="n">
        <v>2283</v>
      </c>
      <c r="C42" s="0" t="n">
        <v>1976</v>
      </c>
      <c r="D42" s="0" t="n">
        <v>903</v>
      </c>
      <c r="F42" s="0" t="n">
        <v>56</v>
      </c>
      <c r="G42" s="0" t="n">
        <f aca="false">LOOKUP($F42,$A$3:$A$202,B$3:B$202)</f>
        <v>3061</v>
      </c>
      <c r="H42" s="0" t="n">
        <f aca="false">LOOKUP($F42,$A$3:$A$202,C$3:C$202)</f>
        <v>1633</v>
      </c>
      <c r="I42" s="0" t="n">
        <f aca="false">LOOKUP($F42,$A$3:$A$202,D$3:D$202)</f>
        <v>1762</v>
      </c>
      <c r="J42" s="0" t="n">
        <f aca="false">INT(SQRT((G42-G43)*(G42-G43)+(H42-H43)*(H42-H43)) +0.5)</f>
        <v>2975</v>
      </c>
    </row>
    <row r="43" customFormat="false" ht="15" hidden="false" customHeight="false" outlineLevel="0" collapsed="false">
      <c r="A43" s="0" t="n">
        <v>40</v>
      </c>
      <c r="B43" s="0" t="n">
        <v>996</v>
      </c>
      <c r="C43" s="0" t="n">
        <v>459</v>
      </c>
      <c r="D43" s="0" t="n">
        <v>1813</v>
      </c>
      <c r="F43" s="0" t="n">
        <v>31</v>
      </c>
      <c r="G43" s="0" t="n">
        <f aca="false">LOOKUP($F43,$A$3:$A$202,B$3:B$202)</f>
        <v>96</v>
      </c>
      <c r="H43" s="0" t="n">
        <f aca="false">LOOKUP($F43,$A$3:$A$202,C$3:C$202)</f>
        <v>1879</v>
      </c>
      <c r="I43" s="0" t="n">
        <f aca="false">LOOKUP($F43,$A$3:$A$202,D$3:D$202)</f>
        <v>634</v>
      </c>
      <c r="J43" s="0" t="n">
        <f aca="false">INT(SQRT((G43-G44)*(G43-G44)+(H43-H44)*(H43-H44)) +0.5)</f>
        <v>4227</v>
      </c>
    </row>
    <row r="44" customFormat="false" ht="15" hidden="false" customHeight="false" outlineLevel="0" collapsed="false">
      <c r="A44" s="0" t="n">
        <v>41</v>
      </c>
      <c r="B44" s="0" t="n">
        <v>2111</v>
      </c>
      <c r="C44" s="0" t="n">
        <v>626</v>
      </c>
      <c r="D44" s="0" t="n">
        <v>1056</v>
      </c>
      <c r="F44" s="0" t="n">
        <v>78</v>
      </c>
      <c r="G44" s="0" t="n">
        <f aca="false">LOOKUP($F44,$A$3:$A$202,B$3:B$202)</f>
        <v>3902</v>
      </c>
      <c r="H44" s="0" t="n">
        <f aca="false">LOOKUP($F44,$A$3:$A$202,C$3:C$202)</f>
        <v>40</v>
      </c>
      <c r="I44" s="0" t="n">
        <f aca="false">LOOKUP($F44,$A$3:$A$202,D$3:D$202)</f>
        <v>667</v>
      </c>
      <c r="J44" s="0" t="n">
        <f aca="false">INT(SQRT((G44-G45)*(G44-G45)+(H44-H45)*(H44-H45)) +0.5)</f>
        <v>2776</v>
      </c>
    </row>
    <row r="45" customFormat="false" ht="15" hidden="false" customHeight="false" outlineLevel="0" collapsed="false">
      <c r="A45" s="0" t="n">
        <v>42</v>
      </c>
      <c r="B45" s="0" t="n">
        <v>3225</v>
      </c>
      <c r="C45" s="0" t="n">
        <v>458</v>
      </c>
      <c r="D45" s="0" t="n">
        <v>870</v>
      </c>
      <c r="F45" s="0" t="n">
        <v>145</v>
      </c>
      <c r="G45" s="0" t="n">
        <f aca="false">LOOKUP($F45,$A$3:$A$202,B$3:B$202)</f>
        <v>1193</v>
      </c>
      <c r="H45" s="0" t="n">
        <f aca="false">LOOKUP($F45,$A$3:$A$202,C$3:C$202)</f>
        <v>644</v>
      </c>
      <c r="I45" s="0" t="n">
        <f aca="false">LOOKUP($F45,$A$3:$A$202,D$3:D$202)</f>
        <v>1486</v>
      </c>
      <c r="J45" s="0" t="n">
        <f aca="false">INT(SQRT((G45-G46)*(G45-G46)+(H45-H46)*(H45-H46)) +0.5)</f>
        <v>746</v>
      </c>
    </row>
    <row r="46" customFormat="false" ht="15" hidden="false" customHeight="false" outlineLevel="0" collapsed="false">
      <c r="A46" s="0" t="n">
        <v>43</v>
      </c>
      <c r="B46" s="0" t="n">
        <v>3260</v>
      </c>
      <c r="C46" s="0" t="n">
        <v>647</v>
      </c>
      <c r="D46" s="0" t="n">
        <v>1098</v>
      </c>
      <c r="F46" s="0" t="n">
        <v>196</v>
      </c>
      <c r="G46" s="0" t="n">
        <f aca="false">LOOKUP($F46,$A$3:$A$202,B$3:B$202)</f>
        <v>1519</v>
      </c>
      <c r="H46" s="0" t="n">
        <f aca="false">LOOKUP($F46,$A$3:$A$202,C$3:C$202)</f>
        <v>1315</v>
      </c>
      <c r="I46" s="0" t="n">
        <f aca="false">LOOKUP($F46,$A$3:$A$202,D$3:D$202)</f>
        <v>1347</v>
      </c>
      <c r="J46" s="0" t="n">
        <f aca="false">INT(SQRT((G46-G47)*(G46-G47)+(H46-H47)*(H46-H47)) +0.5)</f>
        <v>1699</v>
      </c>
    </row>
    <row r="47" customFormat="false" ht="15" hidden="false" customHeight="false" outlineLevel="0" collapsed="false">
      <c r="A47" s="0" t="n">
        <v>44</v>
      </c>
      <c r="B47" s="0" t="n">
        <v>844</v>
      </c>
      <c r="C47" s="0" t="n">
        <v>1215</v>
      </c>
      <c r="D47" s="0" t="n">
        <v>1659</v>
      </c>
      <c r="F47" s="0" t="n">
        <v>81</v>
      </c>
      <c r="G47" s="0" t="n">
        <f aca="false">LOOKUP($F47,$A$3:$A$202,B$3:B$202)</f>
        <v>3165</v>
      </c>
      <c r="H47" s="0" t="n">
        <f aca="false">LOOKUP($F47,$A$3:$A$202,C$3:C$202)</f>
        <v>892</v>
      </c>
      <c r="I47" s="0" t="n">
        <f aca="false">LOOKUP($F47,$A$3:$A$202,D$3:D$202)</f>
        <v>1172</v>
      </c>
      <c r="J47" s="0" t="n">
        <f aca="false">INT(SQRT((G47-G48)*(G47-G48)+(H47-H48)*(H47-H48)) +0.5)</f>
        <v>2325</v>
      </c>
    </row>
    <row r="48" customFormat="false" ht="15" hidden="false" customHeight="false" outlineLevel="0" collapsed="false">
      <c r="A48" s="0" t="n">
        <v>45</v>
      </c>
      <c r="B48" s="0" t="n">
        <v>1791</v>
      </c>
      <c r="C48" s="0" t="n">
        <v>607</v>
      </c>
      <c r="D48" s="0" t="n">
        <v>491</v>
      </c>
      <c r="F48" s="0" t="n">
        <v>90</v>
      </c>
      <c r="G48" s="0" t="n">
        <f aca="false">LOOKUP($F48,$A$3:$A$202,B$3:B$202)</f>
        <v>847</v>
      </c>
      <c r="H48" s="0" t="n">
        <f aca="false">LOOKUP($F48,$A$3:$A$202,C$3:C$202)</f>
        <v>1077</v>
      </c>
      <c r="I48" s="0" t="n">
        <f aca="false">LOOKUP($F48,$A$3:$A$202,D$3:D$202)</f>
        <v>958</v>
      </c>
      <c r="J48" s="0" t="n">
        <f aca="false">INT(SQRT((G48-G49)*(G48-G49)+(H48-H49)*(H48-H49)) +0.5)</f>
        <v>2275</v>
      </c>
    </row>
    <row r="49" customFormat="false" ht="15" hidden="false" customHeight="false" outlineLevel="0" collapsed="false">
      <c r="A49" s="0" t="n">
        <v>46</v>
      </c>
      <c r="B49" s="0" t="n">
        <v>3685</v>
      </c>
      <c r="C49" s="0" t="n">
        <v>1569</v>
      </c>
      <c r="D49" s="0" t="n">
        <v>1465</v>
      </c>
      <c r="F49" s="0" t="n">
        <v>165</v>
      </c>
      <c r="G49" s="0" t="n">
        <f aca="false">LOOKUP($F49,$A$3:$A$202,B$3:B$202)</f>
        <v>2976</v>
      </c>
      <c r="H49" s="0" t="n">
        <f aca="false">LOOKUP($F49,$A$3:$A$202,C$3:C$202)</f>
        <v>276</v>
      </c>
      <c r="I49" s="0" t="n">
        <f aca="false">LOOKUP($F49,$A$3:$A$202,D$3:D$202)</f>
        <v>1887</v>
      </c>
      <c r="J49" s="0" t="n">
        <f aca="false">INT(SQRT((G49-G50)*(G49-G50)+(H49-H50)*(H49-H50)) +0.5)</f>
        <v>1988</v>
      </c>
    </row>
    <row r="50" customFormat="false" ht="15" hidden="false" customHeight="false" outlineLevel="0" collapsed="false">
      <c r="A50" s="0" t="n">
        <v>47</v>
      </c>
      <c r="B50" s="0" t="n">
        <v>3770</v>
      </c>
      <c r="C50" s="0" t="n">
        <v>992</v>
      </c>
      <c r="D50" s="0" t="n">
        <v>291</v>
      </c>
      <c r="F50" s="0" t="n">
        <v>40</v>
      </c>
      <c r="G50" s="0" t="n">
        <f aca="false">LOOKUP($F50,$A$3:$A$202,B$3:B$202)</f>
        <v>996</v>
      </c>
      <c r="H50" s="0" t="n">
        <f aca="false">LOOKUP($F50,$A$3:$A$202,C$3:C$202)</f>
        <v>459</v>
      </c>
      <c r="I50" s="0" t="n">
        <f aca="false">LOOKUP($F50,$A$3:$A$202,D$3:D$202)</f>
        <v>1813</v>
      </c>
      <c r="J50" s="0" t="n">
        <f aca="false">INT(SQRT((G50-G51)*(G50-G51)+(H50-H51)*(H50-H51)) +0.5)</f>
        <v>746</v>
      </c>
    </row>
    <row r="51" customFormat="false" ht="15" hidden="false" customHeight="false" outlineLevel="0" collapsed="false">
      <c r="A51" s="0" t="n">
        <v>48</v>
      </c>
      <c r="B51" s="0" t="n">
        <v>250</v>
      </c>
      <c r="C51" s="0" t="n">
        <v>1923</v>
      </c>
      <c r="D51" s="0" t="n">
        <v>219</v>
      </c>
      <c r="F51" s="0" t="n">
        <v>185</v>
      </c>
      <c r="G51" s="0" t="n">
        <f aca="false">LOOKUP($F51,$A$3:$A$202,B$3:B$202)</f>
        <v>1654</v>
      </c>
      <c r="H51" s="0" t="n">
        <f aca="false">LOOKUP($F51,$A$3:$A$202,C$3:C$202)</f>
        <v>811</v>
      </c>
      <c r="I51" s="0" t="n">
        <f aca="false">LOOKUP($F51,$A$3:$A$202,D$3:D$202)</f>
        <v>675</v>
      </c>
      <c r="J51" s="0" t="n">
        <f aca="false">INT(SQRT((G51-G52)*(G51-G52)+(H51-H52)*(H51-H52)) +0.5)</f>
        <v>1544</v>
      </c>
    </row>
    <row r="52" customFormat="false" ht="15" hidden="false" customHeight="false" outlineLevel="0" collapsed="false">
      <c r="A52" s="0" t="n">
        <v>49</v>
      </c>
      <c r="B52" s="0" t="n">
        <v>338</v>
      </c>
      <c r="C52" s="0" t="n">
        <v>1084</v>
      </c>
      <c r="D52" s="0" t="n">
        <v>573</v>
      </c>
      <c r="F52" s="0" t="n">
        <v>106</v>
      </c>
      <c r="G52" s="0" t="n">
        <f aca="false">LOOKUP($F52,$A$3:$A$202,B$3:B$202)</f>
        <v>3185</v>
      </c>
      <c r="H52" s="0" t="n">
        <f aca="false">LOOKUP($F52,$A$3:$A$202,C$3:C$202)</f>
        <v>609</v>
      </c>
      <c r="I52" s="0" t="n">
        <f aca="false">LOOKUP($F52,$A$3:$A$202,D$3:D$202)</f>
        <v>144</v>
      </c>
      <c r="J52" s="0" t="n">
        <f aca="false">INT(SQRT((G52-G53)*(G52-G53)+(H52-H53)*(H52-H53)) +0.5)</f>
        <v>1091</v>
      </c>
    </row>
    <row r="53" customFormat="false" ht="15" hidden="false" customHeight="false" outlineLevel="0" collapsed="false">
      <c r="A53" s="0" t="n">
        <v>50</v>
      </c>
      <c r="B53" s="0" t="n">
        <v>3424</v>
      </c>
      <c r="C53" s="0" t="n">
        <v>1115</v>
      </c>
      <c r="D53" s="0" t="n">
        <v>186</v>
      </c>
      <c r="F53" s="0" t="n">
        <v>178</v>
      </c>
      <c r="G53" s="0" t="n">
        <f aca="false">LOOKUP($F53,$A$3:$A$202,B$3:B$202)</f>
        <v>3341</v>
      </c>
      <c r="H53" s="0" t="n">
        <f aca="false">LOOKUP($F53,$A$3:$A$202,C$3:C$202)</f>
        <v>1689</v>
      </c>
      <c r="I53" s="0" t="n">
        <f aca="false">LOOKUP($F53,$A$3:$A$202,D$3:D$202)</f>
        <v>346</v>
      </c>
      <c r="J53" s="0" t="n">
        <f aca="false">INT(SQRT((G53-G54)*(G53-G54)+(H53-H54)*(H53-H54)) +0.5)</f>
        <v>3063</v>
      </c>
    </row>
    <row r="54" customFormat="false" ht="15" hidden="false" customHeight="false" outlineLevel="0" collapsed="false">
      <c r="A54" s="0" t="n">
        <v>51</v>
      </c>
      <c r="B54" s="0" t="n">
        <v>1655</v>
      </c>
      <c r="C54" s="0" t="n">
        <v>1218</v>
      </c>
      <c r="D54" s="0" t="n">
        <v>196</v>
      </c>
      <c r="F54" s="0" t="n">
        <v>49</v>
      </c>
      <c r="G54" s="0" t="n">
        <f aca="false">LOOKUP($F54,$A$3:$A$202,B$3:B$202)</f>
        <v>338</v>
      </c>
      <c r="H54" s="0" t="n">
        <f aca="false">LOOKUP($F54,$A$3:$A$202,C$3:C$202)</f>
        <v>1084</v>
      </c>
      <c r="I54" s="0" t="n">
        <f aca="false">LOOKUP($F54,$A$3:$A$202,D$3:D$202)</f>
        <v>573</v>
      </c>
      <c r="J54" s="0" t="n">
        <f aca="false">INT(SQRT((G54-G55)*(G54-G55)+(H54-H55)*(H54-H55)) +0.5)</f>
        <v>493</v>
      </c>
    </row>
    <row r="55" customFormat="false" ht="15" hidden="false" customHeight="false" outlineLevel="0" collapsed="false">
      <c r="A55" s="0" t="n">
        <v>52</v>
      </c>
      <c r="B55" s="0" t="n">
        <v>2068</v>
      </c>
      <c r="C55" s="0" t="n">
        <v>997</v>
      </c>
      <c r="D55" s="0" t="n">
        <v>570</v>
      </c>
      <c r="F55" s="0" t="n">
        <v>14</v>
      </c>
      <c r="G55" s="0" t="n">
        <f aca="false">LOOKUP($F55,$A$3:$A$202,B$3:B$202)</f>
        <v>776</v>
      </c>
      <c r="H55" s="0" t="n">
        <f aca="false">LOOKUP($F55,$A$3:$A$202,C$3:C$202)</f>
        <v>1311</v>
      </c>
      <c r="I55" s="0" t="n">
        <f aca="false">LOOKUP($F55,$A$3:$A$202,D$3:D$202)</f>
        <v>1756</v>
      </c>
      <c r="J55" s="0" t="n">
        <f aca="false">INT(SQRT((G55-G56)*(G55-G56)+(H55-H56)*(H55-H56)) +0.5)</f>
        <v>1219</v>
      </c>
    </row>
    <row r="56" customFormat="false" ht="15" hidden="false" customHeight="false" outlineLevel="0" collapsed="false">
      <c r="A56" s="0" t="n">
        <v>53</v>
      </c>
      <c r="B56" s="0" t="n">
        <v>2025</v>
      </c>
      <c r="C56" s="0" t="n">
        <v>800</v>
      </c>
      <c r="D56" s="0" t="n">
        <v>403</v>
      </c>
      <c r="F56" s="0" t="n">
        <v>144</v>
      </c>
      <c r="G56" s="0" t="n">
        <f aca="false">LOOKUP($F56,$A$3:$A$202,B$3:B$202)</f>
        <v>1926</v>
      </c>
      <c r="H56" s="0" t="n">
        <f aca="false">LOOKUP($F56,$A$3:$A$202,C$3:C$202)</f>
        <v>908</v>
      </c>
      <c r="I56" s="0" t="n">
        <f aca="false">LOOKUP($F56,$A$3:$A$202,D$3:D$202)</f>
        <v>335</v>
      </c>
      <c r="J56" s="0" t="n">
        <f aca="false">INT(SQRT((G56-G57)*(G56-G57)+(H56-H57)*(H56-H57)) +0.5)</f>
        <v>738</v>
      </c>
    </row>
    <row r="57" customFormat="false" ht="15" hidden="false" customHeight="false" outlineLevel="0" collapsed="false">
      <c r="A57" s="0" t="n">
        <v>54</v>
      </c>
      <c r="B57" s="0" t="n">
        <v>2552</v>
      </c>
      <c r="C57" s="0" t="n">
        <v>1090</v>
      </c>
      <c r="D57" s="0" t="n">
        <v>583</v>
      </c>
      <c r="F57" s="0" t="n">
        <v>62</v>
      </c>
      <c r="G57" s="0" t="n">
        <f aca="false">LOOKUP($F57,$A$3:$A$202,B$3:B$202)</f>
        <v>2361</v>
      </c>
      <c r="H57" s="0" t="n">
        <f aca="false">LOOKUP($F57,$A$3:$A$202,C$3:C$202)</f>
        <v>1504</v>
      </c>
      <c r="I57" s="0" t="n">
        <f aca="false">LOOKUP($F57,$A$3:$A$202,D$3:D$202)</f>
        <v>927</v>
      </c>
      <c r="J57" s="0" t="n">
        <f aca="false">INT(SQRT((G57-G58)*(G57-G58)+(H57-H58)*(H57-H58)) +0.5)</f>
        <v>423</v>
      </c>
    </row>
    <row r="58" customFormat="false" ht="15" hidden="false" customHeight="false" outlineLevel="0" collapsed="false">
      <c r="A58" s="0" t="n">
        <v>55</v>
      </c>
      <c r="B58" s="0" t="n">
        <v>3766</v>
      </c>
      <c r="C58" s="0" t="n">
        <v>1871</v>
      </c>
      <c r="D58" s="0" t="n">
        <v>887</v>
      </c>
      <c r="F58" s="0" t="n">
        <v>9</v>
      </c>
      <c r="G58" s="0" t="n">
        <f aca="false">LOOKUP($F58,$A$3:$A$202,B$3:B$202)</f>
        <v>2552</v>
      </c>
      <c r="H58" s="0" t="n">
        <f aca="false">LOOKUP($F58,$A$3:$A$202,C$3:C$202)</f>
        <v>1127</v>
      </c>
      <c r="I58" s="0" t="n">
        <f aca="false">LOOKUP($F58,$A$3:$A$202,D$3:D$202)</f>
        <v>383</v>
      </c>
      <c r="J58" s="0" t="n">
        <f aca="false">INT(SQRT((G58-G59)*(G58-G59)+(H58-H59)*(H58-H59)) +0.5)</f>
        <v>1731</v>
      </c>
    </row>
    <row r="59" customFormat="false" ht="15" hidden="false" customHeight="false" outlineLevel="0" collapsed="false">
      <c r="A59" s="0" t="n">
        <v>56</v>
      </c>
      <c r="B59" s="0" t="n">
        <v>3061</v>
      </c>
      <c r="C59" s="0" t="n">
        <v>1633</v>
      </c>
      <c r="D59" s="0" t="n">
        <v>1762</v>
      </c>
      <c r="F59" s="0" t="n">
        <v>148</v>
      </c>
      <c r="G59" s="0" t="n">
        <f aca="false">LOOKUP($F59,$A$3:$A$202,B$3:B$202)</f>
        <v>826</v>
      </c>
      <c r="H59" s="0" t="n">
        <f aca="false">LOOKUP($F59,$A$3:$A$202,C$3:C$202)</f>
        <v>991</v>
      </c>
      <c r="I59" s="0" t="n">
        <f aca="false">LOOKUP($F59,$A$3:$A$202,D$3:D$202)</f>
        <v>1363</v>
      </c>
      <c r="J59" s="0" t="n">
        <f aca="false">INT(SQRT((G59-G60)*(G59-G60)+(H59-H60)*(H59-H60)) +0.5)</f>
        <v>617</v>
      </c>
    </row>
    <row r="60" customFormat="false" ht="15" hidden="false" customHeight="false" outlineLevel="0" collapsed="false">
      <c r="A60" s="0" t="n">
        <v>57</v>
      </c>
      <c r="B60" s="0" t="n">
        <v>3223</v>
      </c>
      <c r="C60" s="0" t="n">
        <v>52</v>
      </c>
      <c r="D60" s="0" t="n">
        <v>126</v>
      </c>
      <c r="F60" s="0" t="n">
        <v>167</v>
      </c>
      <c r="G60" s="0" t="n">
        <f aca="false">LOOKUP($F60,$A$3:$A$202,B$3:B$202)</f>
        <v>246</v>
      </c>
      <c r="H60" s="0" t="n">
        <f aca="false">LOOKUP($F60,$A$3:$A$202,C$3:C$202)</f>
        <v>1201</v>
      </c>
      <c r="I60" s="0" t="n">
        <f aca="false">LOOKUP($F60,$A$3:$A$202,D$3:D$202)</f>
        <v>1939</v>
      </c>
      <c r="J60" s="0" t="n">
        <f aca="false">INT(SQRT((G60-G61)*(G60-G61)+(H60-H61)*(H60-H61)) +0.5)</f>
        <v>1833</v>
      </c>
    </row>
    <row r="61" customFormat="false" ht="15" hidden="false" customHeight="false" outlineLevel="0" collapsed="false">
      <c r="A61" s="0" t="n">
        <v>58</v>
      </c>
      <c r="B61" s="0" t="n">
        <v>2363</v>
      </c>
      <c r="C61" s="0" t="n">
        <v>384</v>
      </c>
      <c r="D61" s="0" t="n">
        <v>223</v>
      </c>
      <c r="F61" s="0" t="n">
        <v>52</v>
      </c>
      <c r="G61" s="0" t="n">
        <f aca="false">LOOKUP($F61,$A$3:$A$202,B$3:B$202)</f>
        <v>2068</v>
      </c>
      <c r="H61" s="0" t="n">
        <f aca="false">LOOKUP($F61,$A$3:$A$202,C$3:C$202)</f>
        <v>997</v>
      </c>
      <c r="I61" s="0" t="n">
        <f aca="false">LOOKUP($F61,$A$3:$A$202,D$3:D$202)</f>
        <v>570</v>
      </c>
      <c r="J61" s="0" t="n">
        <f aca="false">INT(SQRT((G61-G62)*(G61-G62)+(H61-H62)*(H61-H62)) +0.5)</f>
        <v>1910</v>
      </c>
    </row>
    <row r="62" customFormat="false" ht="15" hidden="false" customHeight="false" outlineLevel="0" collapsed="false">
      <c r="A62" s="0" t="n">
        <v>59</v>
      </c>
      <c r="B62" s="0" t="n">
        <v>3460</v>
      </c>
      <c r="C62" s="0" t="n">
        <v>1403</v>
      </c>
      <c r="D62" s="0" t="n">
        <v>1152</v>
      </c>
      <c r="F62" s="0" t="n">
        <v>55</v>
      </c>
      <c r="G62" s="0" t="n">
        <f aca="false">LOOKUP($F62,$A$3:$A$202,B$3:B$202)</f>
        <v>3766</v>
      </c>
      <c r="H62" s="0" t="n">
        <f aca="false">LOOKUP($F62,$A$3:$A$202,C$3:C$202)</f>
        <v>1871</v>
      </c>
      <c r="I62" s="0" t="n">
        <f aca="false">LOOKUP($F62,$A$3:$A$202,D$3:D$202)</f>
        <v>887</v>
      </c>
      <c r="J62" s="0" t="n">
        <f aca="false">INT(SQRT((G62-G63)*(G62-G63)+(H62-H63)*(H62-H63)) +0.5)</f>
        <v>1898</v>
      </c>
    </row>
    <row r="63" customFormat="false" ht="15" hidden="false" customHeight="false" outlineLevel="0" collapsed="false">
      <c r="A63" s="0" t="n">
        <v>60</v>
      </c>
      <c r="B63" s="0" t="n">
        <v>221</v>
      </c>
      <c r="C63" s="0" t="n">
        <v>1306</v>
      </c>
      <c r="D63" s="0" t="n">
        <v>533</v>
      </c>
      <c r="F63" s="0" t="n">
        <v>57</v>
      </c>
      <c r="G63" s="0" t="n">
        <f aca="false">LOOKUP($F63,$A$3:$A$202,B$3:B$202)</f>
        <v>3223</v>
      </c>
      <c r="H63" s="0" t="n">
        <f aca="false">LOOKUP($F63,$A$3:$A$202,C$3:C$202)</f>
        <v>52</v>
      </c>
      <c r="I63" s="0" t="n">
        <f aca="false">LOOKUP($F63,$A$3:$A$202,D$3:D$202)</f>
        <v>126</v>
      </c>
      <c r="J63" s="0" t="n">
        <f aca="false">INT(SQRT((G63-G64)*(G63-G64)+(H63-H64)*(H63-H64)) +0.5)</f>
        <v>2488</v>
      </c>
    </row>
    <row r="64" customFormat="false" ht="15" hidden="false" customHeight="false" outlineLevel="0" collapsed="false">
      <c r="A64" s="0" t="n">
        <v>61</v>
      </c>
      <c r="B64" s="0" t="n">
        <v>2021</v>
      </c>
      <c r="C64" s="0" t="n">
        <v>517</v>
      </c>
      <c r="D64" s="0" t="n">
        <v>1224</v>
      </c>
      <c r="F64" s="0" t="n">
        <v>92</v>
      </c>
      <c r="G64" s="0" t="n">
        <f aca="false">LOOKUP($F64,$A$3:$A$202,B$3:B$202)</f>
        <v>739</v>
      </c>
      <c r="H64" s="0" t="n">
        <f aca="false">LOOKUP($F64,$A$3:$A$202,C$3:C$202)</f>
        <v>187</v>
      </c>
      <c r="I64" s="0" t="n">
        <f aca="false">LOOKUP($F64,$A$3:$A$202,D$3:D$202)</f>
        <v>1116</v>
      </c>
      <c r="J64" s="0" t="n">
        <f aca="false">INT(SQRT((G64-G65)*(G64-G65)+(H64-H65)*(H64-H65)) +0.5)</f>
        <v>682</v>
      </c>
    </row>
    <row r="65" customFormat="false" ht="15" hidden="false" customHeight="false" outlineLevel="0" collapsed="false">
      <c r="A65" s="0" t="n">
        <v>62</v>
      </c>
      <c r="B65" s="0" t="n">
        <v>2361</v>
      </c>
      <c r="C65" s="0" t="n">
        <v>1504</v>
      </c>
      <c r="D65" s="0" t="n">
        <v>927</v>
      </c>
      <c r="F65" s="0" t="n">
        <v>129</v>
      </c>
      <c r="G65" s="0" t="n">
        <f aca="false">LOOKUP($F65,$A$3:$A$202,B$3:B$202)</f>
        <v>65</v>
      </c>
      <c r="H65" s="0" t="n">
        <f aca="false">LOOKUP($F65,$A$3:$A$202,C$3:C$202)</f>
        <v>86</v>
      </c>
      <c r="I65" s="0" t="n">
        <f aca="false">LOOKUP($F65,$A$3:$A$202,D$3:D$202)</f>
        <v>758</v>
      </c>
      <c r="J65" s="0" t="n">
        <f aca="false">INT(SQRT((G65-G66)*(G65-G66)+(H65-H66)*(H65-H66)) +0.5)</f>
        <v>1246</v>
      </c>
    </row>
    <row r="66" customFormat="false" ht="15" hidden="false" customHeight="false" outlineLevel="0" collapsed="false">
      <c r="A66" s="0" t="n">
        <v>63</v>
      </c>
      <c r="B66" s="0" t="n">
        <v>123</v>
      </c>
      <c r="C66" s="0" t="n">
        <v>1087</v>
      </c>
      <c r="D66" s="0" t="n">
        <v>27</v>
      </c>
      <c r="F66" s="0" t="n">
        <v>82</v>
      </c>
      <c r="G66" s="0" t="n">
        <f aca="false">LOOKUP($F66,$A$3:$A$202,B$3:B$202)</f>
        <v>216</v>
      </c>
      <c r="H66" s="0" t="n">
        <f aca="false">LOOKUP($F66,$A$3:$A$202,C$3:C$202)</f>
        <v>1323</v>
      </c>
      <c r="I66" s="0" t="n">
        <f aca="false">LOOKUP($F66,$A$3:$A$202,D$3:D$202)</f>
        <v>1287</v>
      </c>
      <c r="J66" s="0" t="n">
        <f aca="false">INT(SQRT((G66-G67)*(G66-G67)+(H66-H67)*(H66-H67)) +0.5)</f>
        <v>1361</v>
      </c>
    </row>
    <row r="67" customFormat="false" ht="15" hidden="false" customHeight="false" outlineLevel="0" collapsed="false">
      <c r="A67" s="0" t="n">
        <v>64</v>
      </c>
      <c r="B67" s="0" t="n">
        <v>3502</v>
      </c>
      <c r="C67" s="0" t="n">
        <v>45</v>
      </c>
      <c r="D67" s="0" t="n">
        <v>859</v>
      </c>
      <c r="F67" s="0" t="n">
        <v>2</v>
      </c>
      <c r="G67" s="0" t="n">
        <f aca="false">LOOKUP($F67,$A$3:$A$202,B$3:B$202)</f>
        <v>964</v>
      </c>
      <c r="H67" s="0" t="n">
        <f aca="false">LOOKUP($F67,$A$3:$A$202,C$3:C$202)</f>
        <v>186</v>
      </c>
      <c r="I67" s="0" t="n">
        <f aca="false">LOOKUP($F67,$A$3:$A$202,D$3:D$202)</f>
        <v>387</v>
      </c>
      <c r="J67" s="0" t="n">
        <f aca="false">INT(SQRT((G67-G68)*(G67-G68)+(H67-H68)*(H67-H68)) +0.5)</f>
        <v>3053</v>
      </c>
    </row>
    <row r="68" customFormat="false" ht="15" hidden="false" customHeight="false" outlineLevel="0" collapsed="false">
      <c r="A68" s="0" t="n">
        <v>65</v>
      </c>
      <c r="B68" s="0" t="n">
        <v>2710</v>
      </c>
      <c r="C68" s="0" t="n">
        <v>409</v>
      </c>
      <c r="D68" s="0" t="n">
        <v>1286</v>
      </c>
      <c r="F68" s="0" t="n">
        <v>101</v>
      </c>
      <c r="G68" s="0" t="n">
        <f aca="false">LOOKUP($F68,$A$3:$A$202,B$3:B$202)</f>
        <v>3605</v>
      </c>
      <c r="H68" s="0" t="n">
        <f aca="false">LOOKUP($F68,$A$3:$A$202,C$3:C$202)</f>
        <v>1717</v>
      </c>
      <c r="I68" s="0" t="n">
        <f aca="false">LOOKUP($F68,$A$3:$A$202,D$3:D$202)</f>
        <v>844</v>
      </c>
      <c r="J68" s="0" t="n">
        <f aca="false">INT(SQRT((G68-G69)*(G68-G69)+(H68-H69)*(H68-H69)) +0.5)</f>
        <v>456</v>
      </c>
    </row>
    <row r="69" customFormat="false" ht="15" hidden="false" customHeight="false" outlineLevel="0" collapsed="false">
      <c r="A69" s="0" t="n">
        <v>66</v>
      </c>
      <c r="B69" s="0" t="n">
        <v>531</v>
      </c>
      <c r="C69" s="0" t="n">
        <v>1421</v>
      </c>
      <c r="D69" s="0" t="n">
        <v>1554</v>
      </c>
      <c r="F69" s="0" t="n">
        <v>1</v>
      </c>
      <c r="G69" s="0" t="n">
        <f aca="false">LOOKUP($F69,$A$3:$A$202,B$3:B$202)</f>
        <v>3409</v>
      </c>
      <c r="H69" s="0" t="n">
        <f aca="false">LOOKUP($F69,$A$3:$A$202,C$3:C$202)</f>
        <v>1305</v>
      </c>
      <c r="I69" s="0" t="n">
        <f aca="false">LOOKUP($F69,$A$3:$A$202,D$3:D$202)</f>
        <v>225</v>
      </c>
      <c r="J69" s="0" t="n">
        <f aca="false">INT(SQRT((G69-G70)*(G69-G70)+(H69-H70)*(H69-H70)) +0.5)</f>
        <v>3110</v>
      </c>
    </row>
    <row r="70" customFormat="false" ht="15" hidden="false" customHeight="false" outlineLevel="0" collapsed="false">
      <c r="A70" s="0" t="n">
        <v>67</v>
      </c>
      <c r="B70" s="0" t="n">
        <v>1835</v>
      </c>
      <c r="C70" s="0" t="n">
        <v>936</v>
      </c>
      <c r="D70" s="0" t="n">
        <v>29</v>
      </c>
      <c r="F70" s="0" t="n">
        <v>97</v>
      </c>
      <c r="G70" s="0" t="n">
        <f aca="false">LOOKUP($F70,$A$3:$A$202,B$3:B$202)</f>
        <v>392</v>
      </c>
      <c r="H70" s="0" t="n">
        <f aca="false">LOOKUP($F70,$A$3:$A$202,C$3:C$202)</f>
        <v>551</v>
      </c>
      <c r="I70" s="0" t="n">
        <f aca="false">LOOKUP($F70,$A$3:$A$202,D$3:D$202)</f>
        <v>196</v>
      </c>
      <c r="J70" s="0" t="n">
        <f aca="false">INT(SQRT((G70-G71)*(G70-G71)+(H70-H71)*(H70-H71)) +0.5)</f>
        <v>695</v>
      </c>
    </row>
    <row r="71" customFormat="false" ht="15" hidden="false" customHeight="false" outlineLevel="0" collapsed="false">
      <c r="A71" s="0" t="n">
        <v>68</v>
      </c>
      <c r="B71" s="0" t="n">
        <v>906</v>
      </c>
      <c r="C71" s="0" t="n">
        <v>1133</v>
      </c>
      <c r="D71" s="0" t="n">
        <v>1965</v>
      </c>
      <c r="F71" s="0" t="n">
        <v>152</v>
      </c>
      <c r="G71" s="0" t="n">
        <f aca="false">LOOKUP($F71,$A$3:$A$202,B$3:B$202)</f>
        <v>546</v>
      </c>
      <c r="H71" s="0" t="n">
        <f aca="false">LOOKUP($F71,$A$3:$A$202,C$3:C$202)</f>
        <v>1229</v>
      </c>
      <c r="I71" s="0" t="n">
        <f aca="false">LOOKUP($F71,$A$3:$A$202,D$3:D$202)</f>
        <v>446</v>
      </c>
      <c r="J71" s="0" t="n">
        <f aca="false">INT(SQRT((G71-G72)*(G71-G72)+(H71-H72)*(H71-H72)) +0.5)</f>
        <v>2944</v>
      </c>
    </row>
    <row r="72" customFormat="false" ht="15" hidden="false" customHeight="false" outlineLevel="0" collapsed="false">
      <c r="A72" s="0" t="n">
        <v>69</v>
      </c>
      <c r="B72" s="0" t="n">
        <v>301</v>
      </c>
      <c r="C72" s="0" t="n">
        <v>232</v>
      </c>
      <c r="D72" s="0" t="n">
        <v>724</v>
      </c>
      <c r="F72" s="0" t="n">
        <v>124</v>
      </c>
      <c r="G72" s="0" t="n">
        <f aca="false">LOOKUP($F72,$A$3:$A$202,B$3:B$202)</f>
        <v>3331</v>
      </c>
      <c r="H72" s="0" t="n">
        <f aca="false">LOOKUP($F72,$A$3:$A$202,C$3:C$202)</f>
        <v>274</v>
      </c>
      <c r="I72" s="0" t="n">
        <f aca="false">LOOKUP($F72,$A$3:$A$202,D$3:D$202)</f>
        <v>1676</v>
      </c>
      <c r="J72" s="0" t="n">
        <f aca="false">INT(SQRT((G72-G73)*(G72-G73)+(H72-H73)*(H72-H73)) +0.5)</f>
        <v>3037</v>
      </c>
    </row>
    <row r="73" customFormat="false" ht="15" hidden="false" customHeight="false" outlineLevel="0" collapsed="false">
      <c r="A73" s="0" t="n">
        <v>70</v>
      </c>
      <c r="B73" s="0" t="n">
        <v>1556</v>
      </c>
      <c r="C73" s="0" t="n">
        <v>385</v>
      </c>
      <c r="D73" s="0" t="n">
        <v>1602</v>
      </c>
      <c r="F73" s="0" t="n">
        <v>94</v>
      </c>
      <c r="G73" s="0" t="n">
        <f aca="false">LOOKUP($F73,$A$3:$A$202,B$3:B$202)</f>
        <v>295</v>
      </c>
      <c r="H73" s="0" t="n">
        <f aca="false">LOOKUP($F73,$A$3:$A$202,C$3:C$202)</f>
        <v>208</v>
      </c>
      <c r="I73" s="0" t="n">
        <f aca="false">LOOKUP($F73,$A$3:$A$202,D$3:D$202)</f>
        <v>1568</v>
      </c>
      <c r="J73" s="0" t="n">
        <f aca="false">INT(SQRT((G73-G74)*(G73-G74)+(H73-H74)*(H73-H74)) +0.5)</f>
        <v>896</v>
      </c>
    </row>
    <row r="74" customFormat="false" ht="15" hidden="false" customHeight="false" outlineLevel="0" collapsed="false">
      <c r="A74" s="0" t="n">
        <v>71</v>
      </c>
      <c r="B74" s="0" t="n">
        <v>1159</v>
      </c>
      <c r="C74" s="0" t="n">
        <v>1642</v>
      </c>
      <c r="D74" s="0" t="n">
        <v>739</v>
      </c>
      <c r="F74" s="0" t="n">
        <v>63</v>
      </c>
      <c r="G74" s="0" t="n">
        <f aca="false">LOOKUP($F74,$A$3:$A$202,B$3:B$202)</f>
        <v>123</v>
      </c>
      <c r="H74" s="0" t="n">
        <f aca="false">LOOKUP($F74,$A$3:$A$202,C$3:C$202)</f>
        <v>1087</v>
      </c>
      <c r="I74" s="0" t="n">
        <f aca="false">LOOKUP($F74,$A$3:$A$202,D$3:D$202)</f>
        <v>27</v>
      </c>
      <c r="J74" s="0" t="n">
        <f aca="false">INT(SQRT((G74-G75)*(G74-G75)+(H74-H75)*(H74-H75)) +0.5)</f>
        <v>716</v>
      </c>
    </row>
    <row r="75" customFormat="false" ht="15" hidden="false" customHeight="false" outlineLevel="0" collapsed="false">
      <c r="A75" s="0" t="n">
        <v>72</v>
      </c>
      <c r="B75" s="0" t="n">
        <v>2785</v>
      </c>
      <c r="C75" s="0" t="n">
        <v>614</v>
      </c>
      <c r="D75" s="0" t="n">
        <v>1018</v>
      </c>
      <c r="F75" s="0" t="n">
        <v>80</v>
      </c>
      <c r="G75" s="0" t="n">
        <f aca="false">LOOKUP($F75,$A$3:$A$202,B$3:B$202)</f>
        <v>610</v>
      </c>
      <c r="H75" s="0" t="n">
        <f aca="false">LOOKUP($F75,$A$3:$A$202,C$3:C$202)</f>
        <v>1612</v>
      </c>
      <c r="I75" s="0" t="n">
        <f aca="false">LOOKUP($F75,$A$3:$A$202,D$3:D$202)</f>
        <v>21</v>
      </c>
      <c r="J75" s="0" t="n">
        <f aca="false">INT(SQRT((G75-G76)*(G75-G76)+(H75-H76)*(H75-H76)) +0.5)</f>
        <v>2444</v>
      </c>
    </row>
    <row r="76" customFormat="false" ht="15" hidden="false" customHeight="false" outlineLevel="0" collapsed="false">
      <c r="A76" s="0" t="n">
        <v>73</v>
      </c>
      <c r="B76" s="0" t="n">
        <v>1972</v>
      </c>
      <c r="C76" s="0" t="n">
        <v>519</v>
      </c>
      <c r="D76" s="0" t="n">
        <v>781</v>
      </c>
      <c r="F76" s="0" t="n">
        <v>176</v>
      </c>
      <c r="G76" s="0" t="n">
        <f aca="false">LOOKUP($F76,$A$3:$A$202,B$3:B$202)</f>
        <v>2855</v>
      </c>
      <c r="H76" s="0" t="n">
        <f aca="false">LOOKUP($F76,$A$3:$A$202,C$3:C$202)</f>
        <v>647</v>
      </c>
      <c r="I76" s="0" t="n">
        <f aca="false">LOOKUP($F76,$A$3:$A$202,D$3:D$202)</f>
        <v>332</v>
      </c>
      <c r="J76" s="0" t="n">
        <f aca="false">INT(SQRT((G76-G77)*(G76-G77)+(H76-H77)*(H76-H77)) +0.5)</f>
        <v>2482</v>
      </c>
    </row>
    <row r="77" customFormat="false" ht="15" hidden="false" customHeight="false" outlineLevel="0" collapsed="false">
      <c r="A77" s="0" t="n">
        <v>74</v>
      </c>
      <c r="B77" s="0" t="n">
        <v>2135</v>
      </c>
      <c r="C77" s="0" t="n">
        <v>1108</v>
      </c>
      <c r="D77" s="0" t="n">
        <v>1975</v>
      </c>
      <c r="F77" s="0" t="n">
        <v>137</v>
      </c>
      <c r="G77" s="0" t="n">
        <f aca="false">LOOKUP($F77,$A$3:$A$202,B$3:B$202)</f>
        <v>644</v>
      </c>
      <c r="H77" s="0" t="n">
        <f aca="false">LOOKUP($F77,$A$3:$A$202,C$3:C$202)</f>
        <v>1775</v>
      </c>
      <c r="I77" s="0" t="n">
        <f aca="false">LOOKUP($F77,$A$3:$A$202,D$3:D$202)</f>
        <v>1785</v>
      </c>
      <c r="J77" s="0" t="n">
        <f aca="false">INT(SQRT((G77-G78)*(G77-G78)+(H77-H78)*(H77-H78)) +0.5)</f>
        <v>1154</v>
      </c>
    </row>
    <row r="78" customFormat="false" ht="15" hidden="false" customHeight="false" outlineLevel="0" collapsed="false">
      <c r="A78" s="0" t="n">
        <v>75</v>
      </c>
      <c r="B78" s="0" t="n">
        <v>3872</v>
      </c>
      <c r="C78" s="0" t="n">
        <v>238</v>
      </c>
      <c r="D78" s="0" t="n">
        <v>1160</v>
      </c>
      <c r="F78" s="0" t="n">
        <v>51</v>
      </c>
      <c r="G78" s="0" t="n">
        <f aca="false">LOOKUP($F78,$A$3:$A$202,B$3:B$202)</f>
        <v>1655</v>
      </c>
      <c r="H78" s="0" t="n">
        <f aca="false">LOOKUP($F78,$A$3:$A$202,C$3:C$202)</f>
        <v>1218</v>
      </c>
      <c r="I78" s="0" t="n">
        <f aca="false">LOOKUP($F78,$A$3:$A$202,D$3:D$202)</f>
        <v>196</v>
      </c>
      <c r="J78" s="0" t="n">
        <f aca="false">INT(SQRT((G78-G79)*(G78-G79)+(H78-H79)*(H78-H79)) +0.5)</f>
        <v>1249</v>
      </c>
    </row>
    <row r="79" customFormat="false" ht="15" hidden="false" customHeight="false" outlineLevel="0" collapsed="false">
      <c r="A79" s="0" t="n">
        <v>76</v>
      </c>
      <c r="B79" s="0" t="n">
        <v>1111</v>
      </c>
      <c r="C79" s="0" t="n">
        <v>1310</v>
      </c>
      <c r="D79" s="0" t="n">
        <v>426</v>
      </c>
      <c r="F79" s="0" t="n">
        <v>118</v>
      </c>
      <c r="G79" s="0" t="n">
        <f aca="false">LOOKUP($F79,$A$3:$A$202,B$3:B$202)</f>
        <v>2074</v>
      </c>
      <c r="H79" s="0" t="n">
        <f aca="false">LOOKUP($F79,$A$3:$A$202,C$3:C$202)</f>
        <v>41</v>
      </c>
      <c r="I79" s="0" t="n">
        <f aca="false">LOOKUP($F79,$A$3:$A$202,D$3:D$202)</f>
        <v>1997</v>
      </c>
      <c r="J79" s="0" t="n">
        <f aca="false">INT(SQRT((G79-G80)*(G79-G80)+(H79-H80)*(H79-H80)) +0.5)</f>
        <v>1943</v>
      </c>
    </row>
    <row r="80" customFormat="false" ht="15" hidden="false" customHeight="false" outlineLevel="0" collapsed="false">
      <c r="A80" s="0" t="n">
        <v>77</v>
      </c>
      <c r="B80" s="0" t="n">
        <v>11</v>
      </c>
      <c r="C80" s="0" t="n">
        <v>1807</v>
      </c>
      <c r="D80" s="0" t="n">
        <v>1394</v>
      </c>
      <c r="F80" s="0" t="n">
        <v>59</v>
      </c>
      <c r="G80" s="0" t="n">
        <f aca="false">LOOKUP($F80,$A$3:$A$202,B$3:B$202)</f>
        <v>3460</v>
      </c>
      <c r="H80" s="0" t="n">
        <f aca="false">LOOKUP($F80,$A$3:$A$202,C$3:C$202)</f>
        <v>1403</v>
      </c>
      <c r="I80" s="0" t="n">
        <f aca="false">LOOKUP($F80,$A$3:$A$202,D$3:D$202)</f>
        <v>1152</v>
      </c>
      <c r="J80" s="0" t="n">
        <f aca="false">INT(SQRT((G80-G81)*(G80-G81)+(H80-H81)*(H80-H81)) +0.5)</f>
        <v>1789</v>
      </c>
    </row>
    <row r="81" customFormat="false" ht="15" hidden="false" customHeight="false" outlineLevel="0" collapsed="false">
      <c r="A81" s="0" t="n">
        <v>78</v>
      </c>
      <c r="B81" s="0" t="n">
        <v>3902</v>
      </c>
      <c r="C81" s="0" t="n">
        <v>40</v>
      </c>
      <c r="D81" s="0" t="n">
        <v>667</v>
      </c>
      <c r="F81" s="0" t="n">
        <v>115</v>
      </c>
      <c r="G81" s="0" t="n">
        <f aca="false">LOOKUP($F81,$A$3:$A$202,B$3:B$202)</f>
        <v>1744</v>
      </c>
      <c r="H81" s="0" t="n">
        <f aca="false">LOOKUP($F81,$A$3:$A$202,C$3:C$202)</f>
        <v>1909</v>
      </c>
      <c r="I81" s="0" t="n">
        <f aca="false">LOOKUP($F81,$A$3:$A$202,D$3:D$202)</f>
        <v>750</v>
      </c>
      <c r="J81" s="0" t="n">
        <f aca="false">INT(SQRT((G81-G82)*(G81-G82)+(H81-H82)*(H81-H82)) +0.5)</f>
        <v>1971</v>
      </c>
    </row>
    <row r="82" customFormat="false" ht="15" hidden="false" customHeight="false" outlineLevel="0" collapsed="false">
      <c r="A82" s="0" t="n">
        <v>79</v>
      </c>
      <c r="B82" s="0" t="n">
        <v>3483</v>
      </c>
      <c r="C82" s="0" t="n">
        <v>1935</v>
      </c>
      <c r="D82" s="0" t="n">
        <v>1943</v>
      </c>
      <c r="F82" s="0" t="n">
        <v>46</v>
      </c>
      <c r="G82" s="0" t="n">
        <f aca="false">LOOKUP($F82,$A$3:$A$202,B$3:B$202)</f>
        <v>3685</v>
      </c>
      <c r="H82" s="0" t="n">
        <f aca="false">LOOKUP($F82,$A$3:$A$202,C$3:C$202)</f>
        <v>1569</v>
      </c>
      <c r="I82" s="0" t="n">
        <f aca="false">LOOKUP($F82,$A$3:$A$202,D$3:D$202)</f>
        <v>1465</v>
      </c>
      <c r="J82" s="0" t="n">
        <f aca="false">INT(SQRT((G82-G83)*(G82-G83)+(H82-H83)*(H82-H83)) +0.5)</f>
        <v>1303</v>
      </c>
    </row>
    <row r="83" customFormat="false" ht="15" hidden="false" customHeight="false" outlineLevel="0" collapsed="false">
      <c r="A83" s="0" t="n">
        <v>80</v>
      </c>
      <c r="B83" s="0" t="n">
        <v>610</v>
      </c>
      <c r="C83" s="0" t="n">
        <v>1612</v>
      </c>
      <c r="D83" s="0" t="n">
        <v>21</v>
      </c>
      <c r="F83" s="0" t="n">
        <v>0</v>
      </c>
      <c r="G83" s="0" t="n">
        <f aca="false">LOOKUP($F83,$A$3:$A$202,B$3:B$202)</f>
        <v>2944</v>
      </c>
      <c r="H83" s="0" t="n">
        <f aca="false">LOOKUP($F83,$A$3:$A$202,C$3:C$202)</f>
        <v>497</v>
      </c>
      <c r="I83" s="0" t="n">
        <f aca="false">LOOKUP($F83,$A$3:$A$202,D$3:D$202)</f>
        <v>1607</v>
      </c>
      <c r="J83" s="0" t="n">
        <f aca="false">INT(SQRT((G83-G84)*(G83-G84)+(H83-H84)*(H83-H84)) +0.5)</f>
        <v>324</v>
      </c>
    </row>
    <row r="84" customFormat="false" ht="15" hidden="false" customHeight="false" outlineLevel="0" collapsed="false">
      <c r="A84" s="0" t="n">
        <v>81</v>
      </c>
      <c r="B84" s="0" t="n">
        <v>3165</v>
      </c>
      <c r="C84" s="0" t="n">
        <v>892</v>
      </c>
      <c r="D84" s="0" t="n">
        <v>1172</v>
      </c>
      <c r="F84" s="0" t="n">
        <v>89</v>
      </c>
      <c r="G84" s="0" t="n">
        <f aca="false">LOOKUP($F84,$A$3:$A$202,B$3:B$202)</f>
        <v>3267</v>
      </c>
      <c r="H84" s="0" t="n">
        <f aca="false">LOOKUP($F84,$A$3:$A$202,C$3:C$202)</f>
        <v>467</v>
      </c>
      <c r="I84" s="0" t="n">
        <f aca="false">LOOKUP($F84,$A$3:$A$202,D$3:D$202)</f>
        <v>240</v>
      </c>
      <c r="J84" s="0" t="n">
        <f aca="false">INT(SQRT((G84-G85)*(G84-G85)+(H84-H85)*(H84-H85)) +0.5)</f>
        <v>2092</v>
      </c>
    </row>
    <row r="85" customFormat="false" ht="15" hidden="false" customHeight="false" outlineLevel="0" collapsed="false">
      <c r="A85" s="0" t="n">
        <v>82</v>
      </c>
      <c r="B85" s="0" t="n">
        <v>216</v>
      </c>
      <c r="C85" s="0" t="n">
        <v>1323</v>
      </c>
      <c r="D85" s="0" t="n">
        <v>1287</v>
      </c>
      <c r="F85" s="0" t="n">
        <v>183</v>
      </c>
      <c r="G85" s="0" t="n">
        <f aca="false">LOOKUP($F85,$A$3:$A$202,B$3:B$202)</f>
        <v>1199</v>
      </c>
      <c r="H85" s="0" t="n">
        <f aca="false">LOOKUP($F85,$A$3:$A$202,C$3:C$202)</f>
        <v>148</v>
      </c>
      <c r="I85" s="0" t="n">
        <f aca="false">LOOKUP($F85,$A$3:$A$202,D$3:D$202)</f>
        <v>1677</v>
      </c>
      <c r="J85" s="0" t="n">
        <f aca="false">INT(SQRT((G85-G86)*(G85-G86)+(H85-H86)*(H85-H86)) +0.5)</f>
        <v>1569</v>
      </c>
    </row>
    <row r="86" customFormat="false" ht="15" hidden="false" customHeight="false" outlineLevel="0" collapsed="false">
      <c r="A86" s="0" t="n">
        <v>83</v>
      </c>
      <c r="B86" s="0" t="n">
        <v>742</v>
      </c>
      <c r="C86" s="0" t="n">
        <v>1027</v>
      </c>
      <c r="D86" s="0" t="n">
        <v>997</v>
      </c>
      <c r="F86" s="0" t="n">
        <v>143</v>
      </c>
      <c r="G86" s="0" t="n">
        <f aca="false">LOOKUP($F86,$A$3:$A$202,B$3:B$202)</f>
        <v>2271</v>
      </c>
      <c r="H86" s="0" t="n">
        <f aca="false">LOOKUP($F86,$A$3:$A$202,C$3:C$202)</f>
        <v>1294</v>
      </c>
      <c r="I86" s="0" t="n">
        <f aca="false">LOOKUP($F86,$A$3:$A$202,D$3:D$202)</f>
        <v>921</v>
      </c>
      <c r="J86" s="0" t="n">
        <f aca="false">INT(SQRT((G86-G87)*(G86-G87)+(H86-H87)*(H86-H87)) +0.5)</f>
        <v>1369</v>
      </c>
    </row>
    <row r="87" customFormat="false" ht="15" hidden="false" customHeight="false" outlineLevel="0" collapsed="false">
      <c r="A87" s="0" t="n">
        <v>84</v>
      </c>
      <c r="B87" s="0" t="n">
        <v>2388</v>
      </c>
      <c r="C87" s="0" t="n">
        <v>534</v>
      </c>
      <c r="D87" s="0" t="n">
        <v>477</v>
      </c>
      <c r="F87" s="0" t="n">
        <v>117</v>
      </c>
      <c r="G87" s="0" t="n">
        <f aca="false">LOOKUP($F87,$A$3:$A$202,B$3:B$202)</f>
        <v>3492</v>
      </c>
      <c r="H87" s="0" t="n">
        <f aca="false">LOOKUP($F87,$A$3:$A$202,C$3:C$202)</f>
        <v>675</v>
      </c>
      <c r="I87" s="0" t="n">
        <f aca="false">LOOKUP($F87,$A$3:$A$202,D$3:D$202)</f>
        <v>1638</v>
      </c>
      <c r="J87" s="0" t="n">
        <f aca="false">INT(SQRT((G87-G88)*(G87-G88)+(H87-H88)*(H87-H88)) +0.5)</f>
        <v>242</v>
      </c>
    </row>
    <row r="88" customFormat="false" ht="15" hidden="false" customHeight="false" outlineLevel="0" collapsed="false">
      <c r="A88" s="0" t="n">
        <v>85</v>
      </c>
      <c r="B88" s="0" t="n">
        <v>3111</v>
      </c>
      <c r="C88" s="0" t="n">
        <v>1089</v>
      </c>
      <c r="D88" s="0" t="n">
        <v>838</v>
      </c>
      <c r="F88" s="0" t="n">
        <v>93</v>
      </c>
      <c r="G88" s="0" t="n">
        <f aca="false">LOOKUP($F88,$A$3:$A$202,B$3:B$202)</f>
        <v>3388</v>
      </c>
      <c r="H88" s="0" t="n">
        <f aca="false">LOOKUP($F88,$A$3:$A$202,C$3:C$202)</f>
        <v>894</v>
      </c>
      <c r="I88" s="0" t="n">
        <f aca="false">LOOKUP($F88,$A$3:$A$202,D$3:D$202)</f>
        <v>138</v>
      </c>
      <c r="J88" s="0" t="n">
        <f aca="false">INT(SQRT((G88-G89)*(G88-G89)+(H88-H89)*(H88-H89)) +0.5)</f>
        <v>851</v>
      </c>
    </row>
    <row r="89" customFormat="false" ht="15" hidden="false" customHeight="false" outlineLevel="0" collapsed="false">
      <c r="A89" s="0" t="n">
        <v>86</v>
      </c>
      <c r="B89" s="0" t="n">
        <v>3686</v>
      </c>
      <c r="C89" s="0" t="n">
        <v>1732</v>
      </c>
      <c r="D89" s="0" t="n">
        <v>1833</v>
      </c>
      <c r="F89" s="0" t="n">
        <v>101</v>
      </c>
      <c r="G89" s="0" t="n">
        <f aca="false">LOOKUP($F89,$A$3:$A$202,B$3:B$202)</f>
        <v>3605</v>
      </c>
      <c r="H89" s="0" t="n">
        <f aca="false">LOOKUP($F89,$A$3:$A$202,C$3:C$202)</f>
        <v>1717</v>
      </c>
      <c r="I89" s="0" t="n">
        <f aca="false">LOOKUP($F89,$A$3:$A$202,D$3:D$202)</f>
        <v>844</v>
      </c>
      <c r="J89" s="0" t="n">
        <f aca="false">INT(SQRT((G89-G90)*(G89-G90)+(H89-H90)*(H89-H90)) +0.5)</f>
        <v>1579</v>
      </c>
    </row>
    <row r="90" customFormat="false" ht="15" hidden="false" customHeight="false" outlineLevel="0" collapsed="false">
      <c r="A90" s="0" t="n">
        <v>87</v>
      </c>
      <c r="B90" s="0" t="n">
        <v>1455</v>
      </c>
      <c r="C90" s="0" t="n">
        <v>575</v>
      </c>
      <c r="D90" s="0" t="n">
        <v>407</v>
      </c>
      <c r="F90" s="0" t="n">
        <v>99</v>
      </c>
      <c r="G90" s="0" t="n">
        <f aca="false">LOOKUP($F90,$A$3:$A$202,B$3:B$202)</f>
        <v>2339</v>
      </c>
      <c r="H90" s="0" t="n">
        <f aca="false">LOOKUP($F90,$A$3:$A$202,C$3:C$202)</f>
        <v>774</v>
      </c>
      <c r="I90" s="0" t="n">
        <f aca="false">LOOKUP($F90,$A$3:$A$202,D$3:D$202)</f>
        <v>1088</v>
      </c>
      <c r="J90" s="0" t="n">
        <f aca="false">INT(SQRT((G90-G91)*(G90-G91)+(H90-H91)*(H90-H91)) +0.5)</f>
        <v>511</v>
      </c>
    </row>
    <row r="91" customFormat="false" ht="15" hidden="false" customHeight="false" outlineLevel="0" collapsed="false">
      <c r="A91" s="0" t="n">
        <v>88</v>
      </c>
      <c r="B91" s="0" t="n">
        <v>3762</v>
      </c>
      <c r="C91" s="0" t="n">
        <v>95</v>
      </c>
      <c r="D91" s="0" t="n">
        <v>765</v>
      </c>
      <c r="F91" s="0" t="n">
        <v>135</v>
      </c>
      <c r="G91" s="0" t="n">
        <f aca="false">LOOKUP($F91,$A$3:$A$202,B$3:B$202)</f>
        <v>1997</v>
      </c>
      <c r="H91" s="0" t="n">
        <f aca="false">LOOKUP($F91,$A$3:$A$202,C$3:C$202)</f>
        <v>394</v>
      </c>
      <c r="I91" s="0" t="n">
        <f aca="false">LOOKUP($F91,$A$3:$A$202,D$3:D$202)</f>
        <v>110</v>
      </c>
      <c r="J91" s="0" t="n">
        <f aca="false">INT(SQRT((G91-G92)*(G91-G92)+(H91-H92)*(H91-H92)) +0.5)</f>
        <v>892</v>
      </c>
    </row>
    <row r="92" customFormat="false" ht="15" hidden="false" customHeight="false" outlineLevel="0" collapsed="false">
      <c r="A92" s="0" t="n">
        <v>89</v>
      </c>
      <c r="B92" s="0" t="n">
        <v>3267</v>
      </c>
      <c r="C92" s="0" t="n">
        <v>467</v>
      </c>
      <c r="D92" s="0" t="n">
        <v>240</v>
      </c>
      <c r="F92" s="0" t="n">
        <v>51</v>
      </c>
      <c r="G92" s="0" t="n">
        <f aca="false">LOOKUP($F92,$A$3:$A$202,B$3:B$202)</f>
        <v>1655</v>
      </c>
      <c r="H92" s="0" t="n">
        <f aca="false">LOOKUP($F92,$A$3:$A$202,C$3:C$202)</f>
        <v>1218</v>
      </c>
      <c r="I92" s="0" t="n">
        <f aca="false">LOOKUP($F92,$A$3:$A$202,D$3:D$202)</f>
        <v>196</v>
      </c>
      <c r="J92" s="0" t="n">
        <f aca="false">INT(SQRT((G92-G93)*(G92-G93)+(H92-H93)*(H92-H93)) +0.5)</f>
        <v>453</v>
      </c>
    </row>
    <row r="93" customFormat="false" ht="15" hidden="false" customHeight="false" outlineLevel="0" collapsed="false">
      <c r="A93" s="0" t="n">
        <v>90</v>
      </c>
      <c r="B93" s="0" t="n">
        <v>847</v>
      </c>
      <c r="C93" s="0" t="n">
        <v>1077</v>
      </c>
      <c r="D93" s="0" t="n">
        <v>958</v>
      </c>
      <c r="F93" s="0" t="n">
        <v>112</v>
      </c>
      <c r="G93" s="0" t="n">
        <f aca="false">LOOKUP($F93,$A$3:$A$202,B$3:B$202)</f>
        <v>1747</v>
      </c>
      <c r="H93" s="0" t="n">
        <f aca="false">LOOKUP($F93,$A$3:$A$202,C$3:C$202)</f>
        <v>1662</v>
      </c>
      <c r="I93" s="0" t="n">
        <f aca="false">LOOKUP($F93,$A$3:$A$202,D$3:D$202)</f>
        <v>782</v>
      </c>
      <c r="J93" s="0" t="n">
        <f aca="false">INT(SQRT((G93-G94)*(G93-G94)+(H93-H94)*(H93-H94)) +0.5)</f>
        <v>1240</v>
      </c>
    </row>
    <row r="94" customFormat="false" ht="15" hidden="false" customHeight="false" outlineLevel="0" collapsed="false">
      <c r="A94" s="0" t="n">
        <v>91</v>
      </c>
      <c r="B94" s="0" t="n">
        <v>875</v>
      </c>
      <c r="C94" s="0" t="n">
        <v>1693</v>
      </c>
      <c r="D94" s="0" t="n">
        <v>582</v>
      </c>
      <c r="F94" s="0" t="n">
        <v>66</v>
      </c>
      <c r="G94" s="0" t="n">
        <f aca="false">LOOKUP($F94,$A$3:$A$202,B$3:B$202)</f>
        <v>531</v>
      </c>
      <c r="H94" s="0" t="n">
        <f aca="false">LOOKUP($F94,$A$3:$A$202,C$3:C$202)</f>
        <v>1421</v>
      </c>
      <c r="I94" s="0" t="n">
        <f aca="false">LOOKUP($F94,$A$3:$A$202,D$3:D$202)</f>
        <v>1554</v>
      </c>
      <c r="J94" s="0" t="n">
        <f aca="false">INT(SQRT((G94-G95)*(G94-G95)+(H94-H95)*(H94-H95)) +0.5)</f>
        <v>3306</v>
      </c>
    </row>
    <row r="95" customFormat="false" ht="15" hidden="false" customHeight="false" outlineLevel="0" collapsed="false">
      <c r="A95" s="0" t="n">
        <v>92</v>
      </c>
      <c r="B95" s="0" t="n">
        <v>739</v>
      </c>
      <c r="C95" s="0" t="n">
        <v>187</v>
      </c>
      <c r="D95" s="0" t="n">
        <v>1116</v>
      </c>
      <c r="F95" s="0" t="n">
        <v>6</v>
      </c>
      <c r="G95" s="0" t="n">
        <f aca="false">LOOKUP($F95,$A$3:$A$202,B$3:B$202)</f>
        <v>3837</v>
      </c>
      <c r="H95" s="0" t="n">
        <f aca="false">LOOKUP($F95,$A$3:$A$202,C$3:C$202)</f>
        <v>1462</v>
      </c>
      <c r="I95" s="0" t="n">
        <f aca="false">LOOKUP($F95,$A$3:$A$202,D$3:D$202)</f>
        <v>1598</v>
      </c>
      <c r="J95" s="0" t="n">
        <f aca="false">INT(SQRT((G95-G96)*(G95-G96)+(H95-H96)*(H95-H96)) +0.5)</f>
        <v>2364</v>
      </c>
    </row>
    <row r="96" customFormat="false" ht="15" hidden="false" customHeight="false" outlineLevel="0" collapsed="false">
      <c r="A96" s="0" t="n">
        <v>93</v>
      </c>
      <c r="B96" s="0" t="n">
        <v>3388</v>
      </c>
      <c r="C96" s="0" t="n">
        <v>894</v>
      </c>
      <c r="D96" s="0" t="n">
        <v>138</v>
      </c>
      <c r="F96" s="0" t="n">
        <v>156</v>
      </c>
      <c r="G96" s="0" t="n">
        <f aca="false">LOOKUP($F96,$A$3:$A$202,B$3:B$202)</f>
        <v>1526</v>
      </c>
      <c r="H96" s="0" t="n">
        <f aca="false">LOOKUP($F96,$A$3:$A$202,C$3:C$202)</f>
        <v>964</v>
      </c>
      <c r="I96" s="0" t="n">
        <f aca="false">LOOKUP($F96,$A$3:$A$202,D$3:D$202)</f>
        <v>985</v>
      </c>
      <c r="J96" s="0" t="n">
        <f aca="false">INT(SQRT((G96-G97)*(G96-G97)+(H96-H97)*(H96-H97)) +0.5)</f>
        <v>662</v>
      </c>
    </row>
    <row r="97" customFormat="false" ht="15" hidden="false" customHeight="false" outlineLevel="0" collapsed="false">
      <c r="A97" s="0" t="n">
        <v>94</v>
      </c>
      <c r="B97" s="0" t="n">
        <v>295</v>
      </c>
      <c r="C97" s="0" t="n">
        <v>208</v>
      </c>
      <c r="D97" s="0" t="n">
        <v>1568</v>
      </c>
      <c r="F97" s="0" t="n">
        <v>98</v>
      </c>
      <c r="G97" s="0" t="n">
        <f aca="false">LOOKUP($F97,$A$3:$A$202,B$3:B$202)</f>
        <v>1598</v>
      </c>
      <c r="H97" s="0" t="n">
        <f aca="false">LOOKUP($F97,$A$3:$A$202,C$3:C$202)</f>
        <v>306</v>
      </c>
      <c r="I97" s="0" t="n">
        <f aca="false">LOOKUP($F97,$A$3:$A$202,D$3:D$202)</f>
        <v>887</v>
      </c>
      <c r="J97" s="0" t="n">
        <f aca="false">INT(SQRT((G97-G98)*(G97-G98)+(H97-H98)*(H97-H98)) +0.5)</f>
        <v>1042</v>
      </c>
    </row>
    <row r="98" customFormat="false" ht="15" hidden="false" customHeight="false" outlineLevel="0" collapsed="false">
      <c r="A98" s="0" t="n">
        <v>95</v>
      </c>
      <c r="B98" s="0" t="n">
        <v>345</v>
      </c>
      <c r="C98" s="0" t="n">
        <v>539</v>
      </c>
      <c r="D98" s="0" t="n">
        <v>1085</v>
      </c>
      <c r="F98" s="0" t="n">
        <v>190</v>
      </c>
      <c r="G98" s="0" t="n">
        <f aca="false">LOOKUP($F98,$A$3:$A$202,B$3:B$202)</f>
        <v>1909</v>
      </c>
      <c r="H98" s="0" t="n">
        <f aca="false">LOOKUP($F98,$A$3:$A$202,C$3:C$202)</f>
        <v>1301</v>
      </c>
      <c r="I98" s="0" t="n">
        <f aca="false">LOOKUP($F98,$A$3:$A$202,D$3:D$202)</f>
        <v>1689</v>
      </c>
      <c r="J98" s="0" t="n">
        <f aca="false">INT(SQRT((G98-G99)*(G98-G99)+(H98-H99)*(H98-H99)) +0.5)</f>
        <v>1113</v>
      </c>
    </row>
    <row r="99" customFormat="false" ht="15" hidden="false" customHeight="false" outlineLevel="0" collapsed="false">
      <c r="A99" s="0" t="n">
        <v>96</v>
      </c>
      <c r="B99" s="0" t="n">
        <v>1431</v>
      </c>
      <c r="C99" s="0" t="n">
        <v>387</v>
      </c>
      <c r="D99" s="0" t="n">
        <v>1490</v>
      </c>
      <c r="F99" s="0" t="n">
        <v>72</v>
      </c>
      <c r="G99" s="0" t="n">
        <f aca="false">LOOKUP($F99,$A$3:$A$202,B$3:B$202)</f>
        <v>2785</v>
      </c>
      <c r="H99" s="0" t="n">
        <f aca="false">LOOKUP($F99,$A$3:$A$202,C$3:C$202)</f>
        <v>614</v>
      </c>
      <c r="I99" s="0" t="n">
        <f aca="false">LOOKUP($F99,$A$3:$A$202,D$3:D$202)</f>
        <v>1018</v>
      </c>
      <c r="J99" s="0" t="n">
        <f aca="false">INT(SQRT((G99-G100)*(G99-G100)+(H99-H100)*(H99-H100)) +0.5)</f>
        <v>2523</v>
      </c>
    </row>
    <row r="100" customFormat="false" ht="15" hidden="false" customHeight="false" outlineLevel="0" collapsed="false">
      <c r="A100" s="0" t="n">
        <v>97</v>
      </c>
      <c r="B100" s="0" t="n">
        <v>392</v>
      </c>
      <c r="C100" s="0" t="n">
        <v>551</v>
      </c>
      <c r="D100" s="0" t="n">
        <v>196</v>
      </c>
      <c r="F100" s="0" t="n">
        <v>94</v>
      </c>
      <c r="G100" s="0" t="n">
        <f aca="false">LOOKUP($F100,$A$3:$A$202,B$3:B$202)</f>
        <v>295</v>
      </c>
      <c r="H100" s="0" t="n">
        <f aca="false">LOOKUP($F100,$A$3:$A$202,C$3:C$202)</f>
        <v>208</v>
      </c>
      <c r="I100" s="0" t="n">
        <f aca="false">LOOKUP($F100,$A$3:$A$202,D$3:D$202)</f>
        <v>1568</v>
      </c>
      <c r="J100" s="0" t="n">
        <f aca="false">INT(SQRT((G100-G101)*(G100-G101)+(H100-H101)*(H100-H101)) +0.5)</f>
        <v>784</v>
      </c>
    </row>
    <row r="101" customFormat="false" ht="15" hidden="false" customHeight="false" outlineLevel="0" collapsed="false">
      <c r="A101" s="0" t="n">
        <v>98</v>
      </c>
      <c r="B101" s="0" t="n">
        <v>1598</v>
      </c>
      <c r="C101" s="0" t="n">
        <v>306</v>
      </c>
      <c r="D101" s="0" t="n">
        <v>887</v>
      </c>
      <c r="F101" s="0" t="n">
        <v>12</v>
      </c>
      <c r="G101" s="0" t="n">
        <f aca="false">LOOKUP($F101,$A$3:$A$202,B$3:B$202)</f>
        <v>707</v>
      </c>
      <c r="H101" s="0" t="n">
        <f aca="false">LOOKUP($F101,$A$3:$A$202,C$3:C$202)</f>
        <v>875</v>
      </c>
      <c r="I101" s="0" t="n">
        <f aca="false">LOOKUP($F101,$A$3:$A$202,D$3:D$202)</f>
        <v>1765</v>
      </c>
      <c r="J101" s="0" t="n">
        <f aca="false">INT(SQRT((G101-G102)*(G101-G102)+(H101-H102)*(H101-H102)) +0.5)</f>
        <v>1314</v>
      </c>
    </row>
    <row r="102" customFormat="false" ht="15" hidden="false" customHeight="false" outlineLevel="0" collapsed="false">
      <c r="A102" s="0" t="n">
        <v>99</v>
      </c>
      <c r="B102" s="0" t="n">
        <v>2339</v>
      </c>
      <c r="C102" s="0" t="n">
        <v>774</v>
      </c>
      <c r="D102" s="0" t="n">
        <v>1088</v>
      </c>
      <c r="F102" s="0" t="n">
        <v>73</v>
      </c>
      <c r="G102" s="0" t="n">
        <f aca="false">LOOKUP($F102,$A$3:$A$202,B$3:B$202)</f>
        <v>1972</v>
      </c>
      <c r="H102" s="0" t="n">
        <f aca="false">LOOKUP($F102,$A$3:$A$202,C$3:C$202)</f>
        <v>519</v>
      </c>
      <c r="I102" s="0" t="n">
        <f aca="false">LOOKUP($F102,$A$3:$A$202,D$3:D$202)</f>
        <v>781</v>
      </c>
      <c r="J102" s="0" t="n">
        <f aca="false">INT(SQRT((G102-G103)*(G102-G103)+(H102-H103)*(H102-H103)) +0.5)</f>
        <v>201</v>
      </c>
    </row>
    <row r="103" customFormat="false" ht="15" hidden="false" customHeight="false" outlineLevel="0" collapsed="false">
      <c r="A103" s="0" t="n">
        <v>100</v>
      </c>
      <c r="B103" s="0" t="n">
        <v>759</v>
      </c>
      <c r="C103" s="0" t="n">
        <v>1191</v>
      </c>
      <c r="D103" s="0" t="n">
        <v>949</v>
      </c>
      <c r="F103" s="0" t="n">
        <f aca="false">F3</f>
        <v>140</v>
      </c>
      <c r="G103" s="0" t="n">
        <f aca="false">LOOKUP($F103,$A$3:$A$202,B$3:B$202)</f>
        <v>2005</v>
      </c>
      <c r="H103" s="0" t="n">
        <f aca="false">LOOKUP($F103,$A$3:$A$202,C$3:C$202)</f>
        <v>717</v>
      </c>
      <c r="I103" s="0" t="n">
        <f aca="false">LOOKUP($F103,$A$3:$A$202,D$3:D$202)</f>
        <v>598</v>
      </c>
    </row>
    <row r="104" customFormat="false" ht="15" hidden="false" customHeight="false" outlineLevel="0" collapsed="false">
      <c r="A104" s="0" t="n">
        <v>101</v>
      </c>
      <c r="B104" s="0" t="n">
        <v>3605</v>
      </c>
      <c r="C104" s="0" t="n">
        <v>1717</v>
      </c>
      <c r="D104" s="0" t="n">
        <v>844</v>
      </c>
    </row>
    <row r="105" customFormat="false" ht="15" hidden="false" customHeight="false" outlineLevel="0" collapsed="false">
      <c r="A105" s="0" t="n">
        <v>102</v>
      </c>
      <c r="B105" s="0" t="n">
        <v>1531</v>
      </c>
      <c r="C105" s="0" t="n">
        <v>764</v>
      </c>
      <c r="D105" s="0" t="n">
        <v>1003</v>
      </c>
    </row>
    <row r="106" customFormat="false" ht="15" hidden="false" customHeight="false" outlineLevel="0" collapsed="false">
      <c r="A106" s="0" t="n">
        <v>103</v>
      </c>
      <c r="B106" s="0" t="n">
        <v>3361</v>
      </c>
      <c r="C106" s="0" t="n">
        <v>440</v>
      </c>
      <c r="D106" s="0" t="n">
        <v>1341</v>
      </c>
    </row>
    <row r="107" customFormat="false" ht="15" hidden="false" customHeight="false" outlineLevel="0" collapsed="false">
      <c r="A107" s="0" t="n">
        <v>104</v>
      </c>
      <c r="B107" s="0" t="n">
        <v>64</v>
      </c>
      <c r="C107" s="0" t="n">
        <v>29</v>
      </c>
      <c r="D107" s="0" t="n">
        <v>721</v>
      </c>
    </row>
    <row r="108" customFormat="false" ht="15" hidden="false" customHeight="false" outlineLevel="0" collapsed="false">
      <c r="A108" s="0" t="n">
        <v>105</v>
      </c>
      <c r="B108" s="0" t="n">
        <v>3107</v>
      </c>
      <c r="C108" s="0" t="n">
        <v>145</v>
      </c>
      <c r="D108" s="0" t="n">
        <v>1905</v>
      </c>
    </row>
    <row r="109" customFormat="false" ht="15" hidden="false" customHeight="false" outlineLevel="0" collapsed="false">
      <c r="A109" s="0" t="n">
        <v>106</v>
      </c>
      <c r="B109" s="0" t="n">
        <v>3185</v>
      </c>
      <c r="C109" s="0" t="n">
        <v>609</v>
      </c>
      <c r="D109" s="0" t="n">
        <v>144</v>
      </c>
    </row>
    <row r="110" customFormat="false" ht="15" hidden="false" customHeight="false" outlineLevel="0" collapsed="false">
      <c r="A110" s="0" t="n">
        <v>107</v>
      </c>
      <c r="B110" s="0" t="n">
        <v>3618</v>
      </c>
      <c r="C110" s="0" t="n">
        <v>295</v>
      </c>
      <c r="D110" s="0" t="n">
        <v>4</v>
      </c>
    </row>
    <row r="111" customFormat="false" ht="15" hidden="false" customHeight="false" outlineLevel="0" collapsed="false">
      <c r="A111" s="0" t="n">
        <v>108</v>
      </c>
      <c r="B111" s="0" t="n">
        <v>429</v>
      </c>
      <c r="C111" s="0" t="n">
        <v>1287</v>
      </c>
      <c r="D111" s="0" t="n">
        <v>678</v>
      </c>
    </row>
    <row r="112" customFormat="false" ht="15" hidden="false" customHeight="false" outlineLevel="0" collapsed="false">
      <c r="A112" s="0" t="n">
        <v>109</v>
      </c>
      <c r="B112" s="0" t="n">
        <v>2749</v>
      </c>
      <c r="C112" s="0" t="n">
        <v>1572</v>
      </c>
      <c r="D112" s="0" t="n">
        <v>1851</v>
      </c>
    </row>
    <row r="113" customFormat="false" ht="15" hidden="false" customHeight="false" outlineLevel="0" collapsed="false">
      <c r="A113" s="0" t="n">
        <v>110</v>
      </c>
      <c r="B113" s="0" t="n">
        <v>368</v>
      </c>
      <c r="C113" s="0" t="n">
        <v>147</v>
      </c>
      <c r="D113" s="0" t="n">
        <v>1538</v>
      </c>
    </row>
    <row r="114" customFormat="false" ht="15" hidden="false" customHeight="false" outlineLevel="0" collapsed="false">
      <c r="A114" s="0" t="n">
        <v>111</v>
      </c>
      <c r="B114" s="0" t="n">
        <v>2789</v>
      </c>
      <c r="C114" s="0" t="n">
        <v>61</v>
      </c>
      <c r="D114" s="0" t="n">
        <v>1031</v>
      </c>
    </row>
    <row r="115" customFormat="false" ht="15" hidden="false" customHeight="false" outlineLevel="0" collapsed="false">
      <c r="A115" s="0" t="n">
        <v>112</v>
      </c>
      <c r="B115" s="0" t="n">
        <v>1747</v>
      </c>
      <c r="C115" s="0" t="n">
        <v>1662</v>
      </c>
      <c r="D115" s="0" t="n">
        <v>782</v>
      </c>
    </row>
    <row r="116" customFormat="false" ht="15" hidden="false" customHeight="false" outlineLevel="0" collapsed="false">
      <c r="A116" s="0" t="n">
        <v>113</v>
      </c>
      <c r="B116" s="0" t="n">
        <v>3349</v>
      </c>
      <c r="C116" s="0" t="n">
        <v>556</v>
      </c>
      <c r="D116" s="0" t="n">
        <v>916</v>
      </c>
    </row>
    <row r="117" customFormat="false" ht="15" hidden="false" customHeight="false" outlineLevel="0" collapsed="false">
      <c r="A117" s="0" t="n">
        <v>114</v>
      </c>
      <c r="B117" s="0" t="n">
        <v>1891</v>
      </c>
      <c r="C117" s="0" t="n">
        <v>14</v>
      </c>
      <c r="D117" s="0" t="n">
        <v>500</v>
      </c>
    </row>
    <row r="118" customFormat="false" ht="15" hidden="false" customHeight="false" outlineLevel="0" collapsed="false">
      <c r="A118" s="0" t="n">
        <v>115</v>
      </c>
      <c r="B118" s="0" t="n">
        <v>1744</v>
      </c>
      <c r="C118" s="0" t="n">
        <v>1909</v>
      </c>
      <c r="D118" s="0" t="n">
        <v>750</v>
      </c>
    </row>
    <row r="119" customFormat="false" ht="15" hidden="false" customHeight="false" outlineLevel="0" collapsed="false">
      <c r="A119" s="0" t="n">
        <v>116</v>
      </c>
      <c r="B119" s="0" t="n">
        <v>17</v>
      </c>
      <c r="C119" s="0" t="n">
        <v>1161</v>
      </c>
      <c r="D119" s="0" t="n">
        <v>539</v>
      </c>
    </row>
    <row r="120" customFormat="false" ht="15" hidden="false" customHeight="false" outlineLevel="0" collapsed="false">
      <c r="A120" s="0" t="n">
        <v>117</v>
      </c>
      <c r="B120" s="0" t="n">
        <v>3492</v>
      </c>
      <c r="C120" s="0" t="n">
        <v>675</v>
      </c>
      <c r="D120" s="0" t="n">
        <v>1638</v>
      </c>
    </row>
    <row r="121" customFormat="false" ht="15" hidden="false" customHeight="false" outlineLevel="0" collapsed="false">
      <c r="A121" s="0" t="n">
        <v>118</v>
      </c>
      <c r="B121" s="0" t="n">
        <v>2074</v>
      </c>
      <c r="C121" s="0" t="n">
        <v>41</v>
      </c>
      <c r="D121" s="0" t="n">
        <v>1997</v>
      </c>
    </row>
    <row r="122" customFormat="false" ht="15" hidden="false" customHeight="false" outlineLevel="0" collapsed="false">
      <c r="A122" s="0" t="n">
        <v>119</v>
      </c>
      <c r="B122" s="0" t="n">
        <v>126</v>
      </c>
      <c r="C122" s="0" t="n">
        <v>987</v>
      </c>
      <c r="D122" s="0" t="n">
        <v>1192</v>
      </c>
    </row>
    <row r="123" customFormat="false" ht="15" hidden="false" customHeight="false" outlineLevel="0" collapsed="false">
      <c r="A123" s="0" t="n">
        <v>120</v>
      </c>
      <c r="B123" s="0" t="n">
        <v>522</v>
      </c>
      <c r="C123" s="0" t="n">
        <v>381</v>
      </c>
      <c r="D123" s="0" t="n">
        <v>1577</v>
      </c>
    </row>
    <row r="124" customFormat="false" ht="15" hidden="false" customHeight="false" outlineLevel="0" collapsed="false">
      <c r="A124" s="0" t="n">
        <v>121</v>
      </c>
      <c r="B124" s="0" t="n">
        <v>1918</v>
      </c>
      <c r="C124" s="0" t="n">
        <v>398</v>
      </c>
      <c r="D124" s="0" t="n">
        <v>1531</v>
      </c>
    </row>
    <row r="125" customFormat="false" ht="15" hidden="false" customHeight="false" outlineLevel="0" collapsed="false">
      <c r="A125" s="0" t="n">
        <v>122</v>
      </c>
      <c r="B125" s="0" t="n">
        <v>3745</v>
      </c>
      <c r="C125" s="0" t="n">
        <v>114</v>
      </c>
      <c r="D125" s="0" t="n">
        <v>1703</v>
      </c>
    </row>
    <row r="126" customFormat="false" ht="15" hidden="false" customHeight="false" outlineLevel="0" collapsed="false">
      <c r="A126" s="0" t="n">
        <v>123</v>
      </c>
      <c r="B126" s="0" t="n">
        <v>731</v>
      </c>
      <c r="C126" s="0" t="n">
        <v>1061</v>
      </c>
      <c r="D126" s="0" t="n">
        <v>226</v>
      </c>
    </row>
    <row r="127" customFormat="false" ht="15" hidden="false" customHeight="false" outlineLevel="0" collapsed="false">
      <c r="A127" s="0" t="n">
        <v>124</v>
      </c>
      <c r="B127" s="0" t="n">
        <v>3331</v>
      </c>
      <c r="C127" s="0" t="n">
        <v>274</v>
      </c>
      <c r="D127" s="0" t="n">
        <v>1676</v>
      </c>
    </row>
    <row r="128" customFormat="false" ht="15" hidden="false" customHeight="false" outlineLevel="0" collapsed="false">
      <c r="A128" s="0" t="n">
        <v>125</v>
      </c>
      <c r="B128" s="0" t="n">
        <v>755</v>
      </c>
      <c r="C128" s="0" t="n">
        <v>474</v>
      </c>
      <c r="D128" s="0" t="n">
        <v>1988</v>
      </c>
    </row>
    <row r="129" customFormat="false" ht="15" hidden="false" customHeight="false" outlineLevel="0" collapsed="false">
      <c r="A129" s="0" t="n">
        <v>126</v>
      </c>
      <c r="B129" s="0" t="n">
        <v>453</v>
      </c>
      <c r="C129" s="0" t="n">
        <v>1911</v>
      </c>
      <c r="D129" s="0" t="n">
        <v>1953</v>
      </c>
    </row>
    <row r="130" customFormat="false" ht="15" hidden="false" customHeight="false" outlineLevel="0" collapsed="false">
      <c r="A130" s="0" t="n">
        <v>127</v>
      </c>
      <c r="B130" s="0" t="n">
        <v>386</v>
      </c>
      <c r="C130" s="0" t="n">
        <v>492</v>
      </c>
      <c r="D130" s="0" t="n">
        <v>592</v>
      </c>
    </row>
    <row r="131" customFormat="false" ht="15" hidden="false" customHeight="false" outlineLevel="0" collapsed="false">
      <c r="A131" s="0" t="n">
        <v>128</v>
      </c>
      <c r="B131" s="0" t="n">
        <v>3205</v>
      </c>
      <c r="C131" s="0" t="n">
        <v>1157</v>
      </c>
      <c r="D131" s="0" t="n">
        <v>1754</v>
      </c>
    </row>
    <row r="132" customFormat="false" ht="15" hidden="false" customHeight="false" outlineLevel="0" collapsed="false">
      <c r="A132" s="0" t="n">
        <v>129</v>
      </c>
      <c r="B132" s="0" t="n">
        <v>65</v>
      </c>
      <c r="C132" s="0" t="n">
        <v>86</v>
      </c>
      <c r="D132" s="0" t="n">
        <v>758</v>
      </c>
    </row>
    <row r="133" customFormat="false" ht="15" hidden="false" customHeight="false" outlineLevel="0" collapsed="false">
      <c r="A133" s="0" t="n">
        <v>130</v>
      </c>
      <c r="B133" s="0" t="n">
        <v>3690</v>
      </c>
      <c r="C133" s="0" t="n">
        <v>566</v>
      </c>
      <c r="D133" s="0" t="n">
        <v>386</v>
      </c>
    </row>
    <row r="134" customFormat="false" ht="15" hidden="false" customHeight="false" outlineLevel="0" collapsed="false">
      <c r="A134" s="0" t="n">
        <v>131</v>
      </c>
      <c r="B134" s="0" t="n">
        <v>2389</v>
      </c>
      <c r="C134" s="0" t="n">
        <v>852</v>
      </c>
      <c r="D134" s="0" t="n">
        <v>636</v>
      </c>
    </row>
    <row r="135" customFormat="false" ht="15" hidden="false" customHeight="false" outlineLevel="0" collapsed="false">
      <c r="A135" s="0" t="n">
        <v>132</v>
      </c>
      <c r="B135" s="0" t="n">
        <v>1043</v>
      </c>
      <c r="C135" s="0" t="n">
        <v>1231</v>
      </c>
      <c r="D135" s="0" t="n">
        <v>71</v>
      </c>
    </row>
    <row r="136" customFormat="false" ht="15" hidden="false" customHeight="false" outlineLevel="0" collapsed="false">
      <c r="A136" s="0" t="n">
        <v>133</v>
      </c>
      <c r="B136" s="0" t="n">
        <v>1692</v>
      </c>
      <c r="C136" s="0" t="n">
        <v>1351</v>
      </c>
      <c r="D136" s="0" t="n">
        <v>1422</v>
      </c>
    </row>
    <row r="137" customFormat="false" ht="15" hidden="false" customHeight="false" outlineLevel="0" collapsed="false">
      <c r="A137" s="0" t="n">
        <v>134</v>
      </c>
      <c r="B137" s="0" t="n">
        <v>2589</v>
      </c>
      <c r="C137" s="0" t="n">
        <v>522</v>
      </c>
      <c r="D137" s="0" t="n">
        <v>236</v>
      </c>
    </row>
    <row r="138" customFormat="false" ht="15" hidden="false" customHeight="false" outlineLevel="0" collapsed="false">
      <c r="A138" s="0" t="n">
        <v>135</v>
      </c>
      <c r="B138" s="0" t="n">
        <v>1997</v>
      </c>
      <c r="C138" s="0" t="n">
        <v>394</v>
      </c>
      <c r="D138" s="0" t="n">
        <v>110</v>
      </c>
    </row>
    <row r="139" customFormat="false" ht="15" hidden="false" customHeight="false" outlineLevel="0" collapsed="false">
      <c r="A139" s="0" t="n">
        <v>136</v>
      </c>
      <c r="B139" s="0" t="n">
        <v>2931</v>
      </c>
      <c r="C139" s="0" t="n">
        <v>1880</v>
      </c>
      <c r="D139" s="0" t="n">
        <v>497</v>
      </c>
    </row>
    <row r="140" customFormat="false" ht="15" hidden="false" customHeight="false" outlineLevel="0" collapsed="false">
      <c r="A140" s="0" t="n">
        <v>137</v>
      </c>
      <c r="B140" s="0" t="n">
        <v>644</v>
      </c>
      <c r="C140" s="0" t="n">
        <v>1775</v>
      </c>
      <c r="D140" s="0" t="n">
        <v>1785</v>
      </c>
    </row>
    <row r="141" customFormat="false" ht="15" hidden="false" customHeight="false" outlineLevel="0" collapsed="false">
      <c r="A141" s="0" t="n">
        <v>138</v>
      </c>
      <c r="B141" s="0" t="n">
        <v>2871</v>
      </c>
      <c r="C141" s="0" t="n">
        <v>270</v>
      </c>
      <c r="D141" s="0" t="n">
        <v>985</v>
      </c>
    </row>
    <row r="142" customFormat="false" ht="15" hidden="false" customHeight="false" outlineLevel="0" collapsed="false">
      <c r="A142" s="0" t="n">
        <v>139</v>
      </c>
      <c r="B142" s="0" t="n">
        <v>1721</v>
      </c>
      <c r="C142" s="0" t="n">
        <v>1565</v>
      </c>
      <c r="D142" s="0" t="n">
        <v>857</v>
      </c>
    </row>
    <row r="143" customFormat="false" ht="15" hidden="false" customHeight="false" outlineLevel="0" collapsed="false">
      <c r="A143" s="0" t="n">
        <v>140</v>
      </c>
      <c r="B143" s="0" t="n">
        <v>2005</v>
      </c>
      <c r="C143" s="0" t="n">
        <v>717</v>
      </c>
      <c r="D143" s="0" t="n">
        <v>598</v>
      </c>
    </row>
    <row r="144" customFormat="false" ht="15" hidden="false" customHeight="false" outlineLevel="0" collapsed="false">
      <c r="A144" s="0" t="n">
        <v>141</v>
      </c>
      <c r="B144" s="0" t="n">
        <v>1225</v>
      </c>
      <c r="C144" s="0" t="n">
        <v>597</v>
      </c>
      <c r="D144" s="0" t="n">
        <v>61</v>
      </c>
    </row>
    <row r="145" customFormat="false" ht="15" hidden="false" customHeight="false" outlineLevel="0" collapsed="false">
      <c r="A145" s="0" t="n">
        <v>142</v>
      </c>
      <c r="B145" s="0" t="n">
        <v>2973</v>
      </c>
      <c r="C145" s="0" t="n">
        <v>1161</v>
      </c>
      <c r="D145" s="0" t="n">
        <v>1029</v>
      </c>
    </row>
    <row r="146" customFormat="false" ht="15" hidden="false" customHeight="false" outlineLevel="0" collapsed="false">
      <c r="A146" s="0" t="n">
        <v>143</v>
      </c>
      <c r="B146" s="0" t="n">
        <v>2271</v>
      </c>
      <c r="C146" s="0" t="n">
        <v>1294</v>
      </c>
      <c r="D146" s="0" t="n">
        <v>921</v>
      </c>
    </row>
    <row r="147" customFormat="false" ht="15" hidden="false" customHeight="false" outlineLevel="0" collapsed="false">
      <c r="A147" s="0" t="n">
        <v>144</v>
      </c>
      <c r="B147" s="0" t="n">
        <v>1926</v>
      </c>
      <c r="C147" s="0" t="n">
        <v>908</v>
      </c>
      <c r="D147" s="0" t="n">
        <v>335</v>
      </c>
    </row>
    <row r="148" customFormat="false" ht="15" hidden="false" customHeight="false" outlineLevel="0" collapsed="false">
      <c r="A148" s="0" t="n">
        <v>145</v>
      </c>
      <c r="B148" s="0" t="n">
        <v>1193</v>
      </c>
      <c r="C148" s="0" t="n">
        <v>644</v>
      </c>
      <c r="D148" s="0" t="n">
        <v>1486</v>
      </c>
    </row>
    <row r="149" customFormat="false" ht="15" hidden="false" customHeight="false" outlineLevel="0" collapsed="false">
      <c r="A149" s="0" t="n">
        <v>146</v>
      </c>
      <c r="B149" s="0" t="n">
        <v>3889</v>
      </c>
      <c r="C149" s="0" t="n">
        <v>409</v>
      </c>
      <c r="D149" s="0" t="n">
        <v>889</v>
      </c>
    </row>
    <row r="150" customFormat="false" ht="15" hidden="false" customHeight="false" outlineLevel="0" collapsed="false">
      <c r="A150" s="0" t="n">
        <v>147</v>
      </c>
      <c r="B150" s="0" t="n">
        <v>3936</v>
      </c>
      <c r="C150" s="0" t="n">
        <v>1304</v>
      </c>
      <c r="D150" s="0" t="n">
        <v>536</v>
      </c>
    </row>
    <row r="151" customFormat="false" ht="15" hidden="false" customHeight="false" outlineLevel="0" collapsed="false">
      <c r="A151" s="0" t="n">
        <v>148</v>
      </c>
      <c r="B151" s="0" t="n">
        <v>826</v>
      </c>
      <c r="C151" s="0" t="n">
        <v>991</v>
      </c>
      <c r="D151" s="0" t="n">
        <v>1363</v>
      </c>
    </row>
    <row r="152" customFormat="false" ht="15" hidden="false" customHeight="false" outlineLevel="0" collapsed="false">
      <c r="A152" s="0" t="n">
        <v>149</v>
      </c>
      <c r="B152" s="0" t="n">
        <v>90</v>
      </c>
      <c r="C152" s="0" t="n">
        <v>1139</v>
      </c>
      <c r="D152" s="0" t="n">
        <v>124</v>
      </c>
    </row>
    <row r="153" customFormat="false" ht="15" hidden="false" customHeight="false" outlineLevel="0" collapsed="false">
      <c r="A153" s="0" t="n">
        <v>150</v>
      </c>
      <c r="B153" s="0" t="n">
        <v>3070</v>
      </c>
      <c r="C153" s="0" t="n">
        <v>590</v>
      </c>
      <c r="D153" s="0" t="n">
        <v>628</v>
      </c>
    </row>
    <row r="154" customFormat="false" ht="15" hidden="false" customHeight="false" outlineLevel="0" collapsed="false">
      <c r="A154" s="0" t="n">
        <v>151</v>
      </c>
      <c r="B154" s="0" t="n">
        <v>3062</v>
      </c>
      <c r="C154" s="0" t="n">
        <v>433</v>
      </c>
      <c r="D154" s="0" t="n">
        <v>621</v>
      </c>
    </row>
    <row r="155" customFormat="false" ht="15" hidden="false" customHeight="false" outlineLevel="0" collapsed="false">
      <c r="A155" s="0" t="n">
        <v>152</v>
      </c>
      <c r="B155" s="0" t="n">
        <v>546</v>
      </c>
      <c r="C155" s="0" t="n">
        <v>1229</v>
      </c>
      <c r="D155" s="0" t="n">
        <v>446</v>
      </c>
    </row>
    <row r="156" customFormat="false" ht="15" hidden="false" customHeight="false" outlineLevel="0" collapsed="false">
      <c r="A156" s="0" t="n">
        <v>153</v>
      </c>
      <c r="B156" s="0" t="n">
        <v>3858</v>
      </c>
      <c r="C156" s="0" t="n">
        <v>135</v>
      </c>
      <c r="D156" s="0" t="n">
        <v>665</v>
      </c>
    </row>
    <row r="157" customFormat="false" ht="15" hidden="false" customHeight="false" outlineLevel="0" collapsed="false">
      <c r="A157" s="0" t="n">
        <v>154</v>
      </c>
      <c r="B157" s="0" t="n">
        <v>2408</v>
      </c>
      <c r="C157" s="0" t="n">
        <v>1892</v>
      </c>
      <c r="D157" s="0" t="n">
        <v>1051</v>
      </c>
    </row>
    <row r="158" customFormat="false" ht="15" hidden="false" customHeight="false" outlineLevel="0" collapsed="false">
      <c r="A158" s="0" t="n">
        <v>155</v>
      </c>
      <c r="B158" s="0" t="n">
        <v>3713</v>
      </c>
      <c r="C158" s="0" t="n">
        <v>1520</v>
      </c>
      <c r="D158" s="0" t="n">
        <v>1747</v>
      </c>
    </row>
    <row r="159" customFormat="false" ht="15" hidden="false" customHeight="false" outlineLevel="0" collapsed="false">
      <c r="A159" s="0" t="n">
        <v>156</v>
      </c>
      <c r="B159" s="0" t="n">
        <v>1526</v>
      </c>
      <c r="C159" s="0" t="n">
        <v>964</v>
      </c>
      <c r="D159" s="0" t="n">
        <v>985</v>
      </c>
    </row>
    <row r="160" customFormat="false" ht="15" hidden="false" customHeight="false" outlineLevel="0" collapsed="false">
      <c r="A160" s="0" t="n">
        <v>157</v>
      </c>
      <c r="B160" s="0" t="n">
        <v>1145</v>
      </c>
      <c r="C160" s="0" t="n">
        <v>1735</v>
      </c>
      <c r="D160" s="0" t="n">
        <v>360</v>
      </c>
    </row>
    <row r="161" customFormat="false" ht="15" hidden="false" customHeight="false" outlineLevel="0" collapsed="false">
      <c r="A161" s="0" t="n">
        <v>158</v>
      </c>
      <c r="B161" s="0" t="n">
        <v>2586</v>
      </c>
      <c r="C161" s="0" t="n">
        <v>205</v>
      </c>
      <c r="D161" s="0" t="n">
        <v>567</v>
      </c>
    </row>
    <row r="162" customFormat="false" ht="15" hidden="false" customHeight="false" outlineLevel="0" collapsed="false">
      <c r="A162" s="0" t="n">
        <v>159</v>
      </c>
      <c r="B162" s="0" t="n">
        <v>3878</v>
      </c>
      <c r="C162" s="0" t="n">
        <v>505</v>
      </c>
      <c r="D162" s="0" t="n">
        <v>291</v>
      </c>
    </row>
    <row r="163" customFormat="false" ht="15" hidden="false" customHeight="false" outlineLevel="0" collapsed="false">
      <c r="A163" s="0" t="n">
        <v>160</v>
      </c>
      <c r="B163" s="0" t="n">
        <v>692</v>
      </c>
      <c r="C163" s="0" t="n">
        <v>972</v>
      </c>
      <c r="D163" s="0" t="n">
        <v>909</v>
      </c>
    </row>
    <row r="164" customFormat="false" ht="15" hidden="false" customHeight="false" outlineLevel="0" collapsed="false">
      <c r="A164" s="0" t="n">
        <v>161</v>
      </c>
      <c r="B164" s="0" t="n">
        <v>758</v>
      </c>
      <c r="C164" s="0" t="n">
        <v>497</v>
      </c>
      <c r="D164" s="0" t="n">
        <v>914</v>
      </c>
    </row>
    <row r="165" customFormat="false" ht="15" hidden="false" customHeight="false" outlineLevel="0" collapsed="false">
      <c r="A165" s="0" t="n">
        <v>162</v>
      </c>
      <c r="B165" s="0" t="n">
        <v>985</v>
      </c>
      <c r="C165" s="0" t="n">
        <v>1022</v>
      </c>
      <c r="D165" s="0" t="n">
        <v>1250</v>
      </c>
    </row>
    <row r="166" customFormat="false" ht="15" hidden="false" customHeight="false" outlineLevel="0" collapsed="false">
      <c r="A166" s="0" t="n">
        <v>163</v>
      </c>
      <c r="B166" s="0" t="n">
        <v>3218</v>
      </c>
      <c r="C166" s="0" t="n">
        <v>1949</v>
      </c>
      <c r="D166" s="0" t="n">
        <v>1049</v>
      </c>
    </row>
    <row r="167" customFormat="false" ht="15" hidden="false" customHeight="false" outlineLevel="0" collapsed="false">
      <c r="A167" s="0" t="n">
        <v>164</v>
      </c>
      <c r="B167" s="0" t="n">
        <v>2985</v>
      </c>
      <c r="C167" s="0" t="n">
        <v>1374</v>
      </c>
      <c r="D167" s="0" t="n">
        <v>37</v>
      </c>
    </row>
    <row r="168" customFormat="false" ht="15" hidden="false" customHeight="false" outlineLevel="0" collapsed="false">
      <c r="A168" s="0" t="n">
        <v>165</v>
      </c>
      <c r="B168" s="0" t="n">
        <v>2976</v>
      </c>
      <c r="C168" s="0" t="n">
        <v>276</v>
      </c>
      <c r="D168" s="0" t="n">
        <v>1887</v>
      </c>
    </row>
    <row r="169" customFormat="false" ht="15" hidden="false" customHeight="false" outlineLevel="0" collapsed="false">
      <c r="A169" s="0" t="n">
        <v>166</v>
      </c>
      <c r="B169" s="0" t="n">
        <v>1116</v>
      </c>
      <c r="C169" s="0" t="n">
        <v>212</v>
      </c>
      <c r="D169" s="0" t="n">
        <v>1785</v>
      </c>
    </row>
    <row r="170" customFormat="false" ht="15" hidden="false" customHeight="false" outlineLevel="0" collapsed="false">
      <c r="A170" s="0" t="n">
        <v>167</v>
      </c>
      <c r="B170" s="0" t="n">
        <v>246</v>
      </c>
      <c r="C170" s="0" t="n">
        <v>1201</v>
      </c>
      <c r="D170" s="0" t="n">
        <v>1939</v>
      </c>
    </row>
    <row r="171" customFormat="false" ht="15" hidden="false" customHeight="false" outlineLevel="0" collapsed="false">
      <c r="A171" s="0" t="n">
        <v>168</v>
      </c>
      <c r="B171" s="0" t="n">
        <v>48</v>
      </c>
      <c r="C171" s="0" t="n">
        <v>904</v>
      </c>
      <c r="D171" s="0" t="n">
        <v>346</v>
      </c>
    </row>
    <row r="172" customFormat="false" ht="15" hidden="false" customHeight="false" outlineLevel="0" collapsed="false">
      <c r="A172" s="0" t="n">
        <v>169</v>
      </c>
      <c r="B172" s="0" t="n">
        <v>3419</v>
      </c>
      <c r="C172" s="0" t="n">
        <v>1246</v>
      </c>
      <c r="D172" s="0" t="n">
        <v>998</v>
      </c>
    </row>
    <row r="173" customFormat="false" ht="15" hidden="false" customHeight="false" outlineLevel="0" collapsed="false">
      <c r="A173" s="0" t="n">
        <v>170</v>
      </c>
      <c r="B173" s="0" t="n">
        <v>3896</v>
      </c>
      <c r="C173" s="0" t="n">
        <v>396</v>
      </c>
      <c r="D173" s="0" t="n">
        <v>872</v>
      </c>
    </row>
    <row r="174" customFormat="false" ht="15" hidden="false" customHeight="false" outlineLevel="0" collapsed="false">
      <c r="A174" s="0" t="n">
        <v>171</v>
      </c>
      <c r="B174" s="0" t="n">
        <v>901</v>
      </c>
      <c r="C174" s="0" t="n">
        <v>170</v>
      </c>
      <c r="D174" s="0" t="n">
        <v>497</v>
      </c>
    </row>
    <row r="175" customFormat="false" ht="15" hidden="false" customHeight="false" outlineLevel="0" collapsed="false">
      <c r="A175" s="0" t="n">
        <v>172</v>
      </c>
      <c r="B175" s="0" t="n">
        <v>1522</v>
      </c>
      <c r="C175" s="0" t="n">
        <v>1013</v>
      </c>
      <c r="D175" s="0" t="n">
        <v>1737</v>
      </c>
    </row>
    <row r="176" customFormat="false" ht="15" hidden="false" customHeight="false" outlineLevel="0" collapsed="false">
      <c r="A176" s="0" t="n">
        <v>173</v>
      </c>
      <c r="B176" s="0" t="n">
        <v>1571</v>
      </c>
      <c r="C176" s="0" t="n">
        <v>1301</v>
      </c>
      <c r="D176" s="0" t="n">
        <v>1808</v>
      </c>
    </row>
    <row r="177" customFormat="false" ht="15" hidden="false" customHeight="false" outlineLevel="0" collapsed="false">
      <c r="A177" s="0" t="n">
        <v>174</v>
      </c>
      <c r="B177" s="0" t="n">
        <v>2870</v>
      </c>
      <c r="C177" s="0" t="n">
        <v>835</v>
      </c>
      <c r="D177" s="0" t="n">
        <v>221</v>
      </c>
    </row>
    <row r="178" customFormat="false" ht="15" hidden="false" customHeight="false" outlineLevel="0" collapsed="false">
      <c r="A178" s="0" t="n">
        <v>175</v>
      </c>
      <c r="B178" s="0" t="n">
        <v>1929</v>
      </c>
      <c r="C178" s="0" t="n">
        <v>1950</v>
      </c>
      <c r="D178" s="0" t="n">
        <v>1160</v>
      </c>
    </row>
    <row r="179" customFormat="false" ht="15" hidden="false" customHeight="false" outlineLevel="0" collapsed="false">
      <c r="A179" s="0" t="n">
        <v>176</v>
      </c>
      <c r="B179" s="0" t="n">
        <v>2855</v>
      </c>
      <c r="C179" s="0" t="n">
        <v>647</v>
      </c>
      <c r="D179" s="0" t="n">
        <v>332</v>
      </c>
    </row>
    <row r="180" customFormat="false" ht="15" hidden="false" customHeight="false" outlineLevel="0" collapsed="false">
      <c r="A180" s="0" t="n">
        <v>177</v>
      </c>
      <c r="B180" s="0" t="n">
        <v>2180</v>
      </c>
      <c r="C180" s="0" t="n">
        <v>887</v>
      </c>
      <c r="D180" s="0" t="n">
        <v>53</v>
      </c>
    </row>
    <row r="181" customFormat="false" ht="15" hidden="false" customHeight="false" outlineLevel="0" collapsed="false">
      <c r="A181" s="0" t="n">
        <v>178</v>
      </c>
      <c r="B181" s="0" t="n">
        <v>3341</v>
      </c>
      <c r="C181" s="0" t="n">
        <v>1689</v>
      </c>
      <c r="D181" s="0" t="n">
        <v>346</v>
      </c>
    </row>
    <row r="182" customFormat="false" ht="15" hidden="false" customHeight="false" outlineLevel="0" collapsed="false">
      <c r="A182" s="0" t="n">
        <v>179</v>
      </c>
      <c r="B182" s="0" t="n">
        <v>2071</v>
      </c>
      <c r="C182" s="0" t="n">
        <v>877</v>
      </c>
      <c r="D182" s="0" t="n">
        <v>723</v>
      </c>
    </row>
    <row r="183" customFormat="false" ht="15" hidden="false" customHeight="false" outlineLevel="0" collapsed="false">
      <c r="A183" s="0" t="n">
        <v>180</v>
      </c>
      <c r="B183" s="0" t="n">
        <v>1293</v>
      </c>
      <c r="C183" s="0" t="n">
        <v>860</v>
      </c>
      <c r="D183" s="0" t="n">
        <v>0</v>
      </c>
    </row>
    <row r="184" customFormat="false" ht="15" hidden="false" customHeight="false" outlineLevel="0" collapsed="false">
      <c r="A184" s="0" t="n">
        <v>181</v>
      </c>
      <c r="B184" s="0" t="n">
        <v>2142</v>
      </c>
      <c r="C184" s="0" t="n">
        <v>129</v>
      </c>
      <c r="D184" s="0" t="n">
        <v>724</v>
      </c>
    </row>
    <row r="185" customFormat="false" ht="15" hidden="false" customHeight="false" outlineLevel="0" collapsed="false">
      <c r="A185" s="0" t="n">
        <v>182</v>
      </c>
      <c r="B185" s="0" t="n">
        <v>2998</v>
      </c>
      <c r="C185" s="0" t="n">
        <v>122</v>
      </c>
      <c r="D185" s="0" t="n">
        <v>698</v>
      </c>
    </row>
    <row r="186" customFormat="false" ht="15" hidden="false" customHeight="false" outlineLevel="0" collapsed="false">
      <c r="A186" s="0" t="n">
        <v>183</v>
      </c>
      <c r="B186" s="0" t="n">
        <v>1199</v>
      </c>
      <c r="C186" s="0" t="n">
        <v>148</v>
      </c>
      <c r="D186" s="0" t="n">
        <v>1677</v>
      </c>
    </row>
    <row r="187" customFormat="false" ht="15" hidden="false" customHeight="false" outlineLevel="0" collapsed="false">
      <c r="A187" s="0" t="n">
        <v>184</v>
      </c>
      <c r="B187" s="0" t="n">
        <v>3112</v>
      </c>
      <c r="C187" s="0" t="n">
        <v>1665</v>
      </c>
      <c r="D187" s="0" t="n">
        <v>941</v>
      </c>
    </row>
    <row r="188" customFormat="false" ht="15" hidden="false" customHeight="false" outlineLevel="0" collapsed="false">
      <c r="A188" s="0" t="n">
        <v>185</v>
      </c>
      <c r="B188" s="0" t="n">
        <v>1654</v>
      </c>
      <c r="C188" s="0" t="n">
        <v>811</v>
      </c>
      <c r="D188" s="0" t="n">
        <v>675</v>
      </c>
    </row>
    <row r="189" customFormat="false" ht="15" hidden="false" customHeight="false" outlineLevel="0" collapsed="false">
      <c r="A189" s="0" t="n">
        <v>186</v>
      </c>
      <c r="B189" s="0" t="n">
        <v>2780</v>
      </c>
      <c r="C189" s="0" t="n">
        <v>1723</v>
      </c>
      <c r="D189" s="0" t="n">
        <v>783</v>
      </c>
    </row>
    <row r="190" customFormat="false" ht="15" hidden="false" customHeight="false" outlineLevel="0" collapsed="false">
      <c r="A190" s="0" t="n">
        <v>187</v>
      </c>
      <c r="B190" s="0" t="n">
        <v>1023</v>
      </c>
      <c r="C190" s="0" t="n">
        <v>466</v>
      </c>
      <c r="D190" s="0" t="n">
        <v>67</v>
      </c>
    </row>
    <row r="191" customFormat="false" ht="15" hidden="false" customHeight="false" outlineLevel="0" collapsed="false">
      <c r="A191" s="0" t="n">
        <v>188</v>
      </c>
      <c r="B191" s="0" t="n">
        <v>147</v>
      </c>
      <c r="C191" s="0" t="n">
        <v>395</v>
      </c>
      <c r="D191" s="0" t="n">
        <v>1811</v>
      </c>
    </row>
    <row r="192" customFormat="false" ht="15" hidden="false" customHeight="false" outlineLevel="0" collapsed="false">
      <c r="A192" s="0" t="n">
        <v>189</v>
      </c>
      <c r="B192" s="0" t="n">
        <v>1146</v>
      </c>
      <c r="C192" s="0" t="n">
        <v>337</v>
      </c>
      <c r="D192" s="0" t="n">
        <v>910</v>
      </c>
    </row>
    <row r="193" customFormat="false" ht="15" hidden="false" customHeight="false" outlineLevel="0" collapsed="false">
      <c r="A193" s="0" t="n">
        <v>190</v>
      </c>
      <c r="B193" s="0" t="n">
        <v>1909</v>
      </c>
      <c r="C193" s="0" t="n">
        <v>1301</v>
      </c>
      <c r="D193" s="0" t="n">
        <v>1689</v>
      </c>
    </row>
    <row r="194" customFormat="false" ht="15" hidden="false" customHeight="false" outlineLevel="0" collapsed="false">
      <c r="A194" s="0" t="n">
        <v>191</v>
      </c>
      <c r="B194" s="0" t="n">
        <v>1232</v>
      </c>
      <c r="C194" s="0" t="n">
        <v>789</v>
      </c>
      <c r="D194" s="0" t="n">
        <v>1896</v>
      </c>
    </row>
    <row r="195" customFormat="false" ht="15" hidden="false" customHeight="false" outlineLevel="0" collapsed="false">
      <c r="A195" s="0" t="n">
        <v>192</v>
      </c>
      <c r="B195" s="0" t="n">
        <v>2474</v>
      </c>
      <c r="C195" s="0" t="n">
        <v>60</v>
      </c>
      <c r="D195" s="0" t="n">
        <v>667</v>
      </c>
    </row>
    <row r="196" customFormat="false" ht="15" hidden="false" customHeight="false" outlineLevel="0" collapsed="false">
      <c r="A196" s="0" t="n">
        <v>193</v>
      </c>
      <c r="B196" s="0" t="n">
        <v>3881</v>
      </c>
      <c r="C196" s="0" t="n">
        <v>101</v>
      </c>
      <c r="D196" s="0" t="n">
        <v>854</v>
      </c>
    </row>
    <row r="197" customFormat="false" ht="15" hidden="false" customHeight="false" outlineLevel="0" collapsed="false">
      <c r="A197" s="0" t="n">
        <v>194</v>
      </c>
      <c r="B197" s="0" t="n">
        <v>2787</v>
      </c>
      <c r="C197" s="0" t="n">
        <v>1060</v>
      </c>
      <c r="D197" s="0" t="n">
        <v>1168</v>
      </c>
    </row>
    <row r="198" customFormat="false" ht="15" hidden="false" customHeight="false" outlineLevel="0" collapsed="false">
      <c r="A198" s="0" t="n">
        <v>195</v>
      </c>
      <c r="B198" s="0" t="n">
        <v>3013</v>
      </c>
      <c r="C198" s="0" t="n">
        <v>1739</v>
      </c>
      <c r="D198" s="0" t="n">
        <v>1973</v>
      </c>
    </row>
    <row r="199" customFormat="false" ht="15" hidden="false" customHeight="false" outlineLevel="0" collapsed="false">
      <c r="A199" s="0" t="n">
        <v>196</v>
      </c>
      <c r="B199" s="0" t="n">
        <v>1519</v>
      </c>
      <c r="C199" s="0" t="n">
        <v>1315</v>
      </c>
      <c r="D199" s="0" t="n">
        <v>1347</v>
      </c>
    </row>
    <row r="200" customFormat="false" ht="15" hidden="false" customHeight="false" outlineLevel="0" collapsed="false">
      <c r="A200" s="0" t="n">
        <v>197</v>
      </c>
      <c r="B200" s="0" t="n">
        <v>3068</v>
      </c>
      <c r="C200" s="0" t="n">
        <v>1985</v>
      </c>
      <c r="D200" s="0" t="n">
        <v>1868</v>
      </c>
    </row>
    <row r="201" customFormat="false" ht="15" hidden="false" customHeight="false" outlineLevel="0" collapsed="false">
      <c r="A201" s="0" t="n">
        <v>198</v>
      </c>
      <c r="B201" s="0" t="n">
        <v>946</v>
      </c>
      <c r="C201" s="0" t="n">
        <v>293</v>
      </c>
      <c r="D201" s="0" t="n">
        <v>1976</v>
      </c>
    </row>
    <row r="202" customFormat="false" ht="15" hidden="false" customHeight="false" outlineLevel="0" collapsed="false">
      <c r="A202" s="0" t="n">
        <v>199</v>
      </c>
      <c r="B202" s="0" t="n">
        <v>105</v>
      </c>
      <c r="C202" s="0" t="n">
        <v>1923</v>
      </c>
      <c r="D202" s="0" t="n">
        <v>1608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02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K2" activeCellId="0" sqref="K2"/>
    </sheetView>
  </sheetViews>
  <sheetFormatPr defaultColWidth="8.4296875" defaultRowHeight="13.8" zeroHeight="false" outlineLevelRow="0" outlineLevelCol="0"/>
  <sheetData>
    <row r="1" customFormat="false" ht="26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F1" s="2"/>
      <c r="G1" s="2" t="s">
        <v>1</v>
      </c>
      <c r="H1" s="2" t="s">
        <v>2</v>
      </c>
      <c r="I1" s="2" t="s">
        <v>3</v>
      </c>
      <c r="J1" s="2" t="s">
        <v>5</v>
      </c>
      <c r="K1" s="2" t="s">
        <v>6</v>
      </c>
    </row>
    <row r="2" customFormat="false" ht="13.8" hidden="false" customHeight="false" outlineLevel="0" collapsed="false">
      <c r="A2" s="1"/>
      <c r="B2" s="1"/>
      <c r="C2" s="1"/>
      <c r="D2" s="1"/>
      <c r="F2" s="2"/>
      <c r="I2" s="3" t="n">
        <f aca="false">SUM(I3:I102)</f>
        <v>51763</v>
      </c>
      <c r="J2" s="3" t="n">
        <f aca="false">SUM(J3:J102)</f>
        <v>20248</v>
      </c>
      <c r="K2" s="3" t="n">
        <f aca="false">I2+J2</f>
        <v>72011</v>
      </c>
    </row>
    <row r="3" customFormat="false" ht="13.8" hidden="false" customHeight="false" outlineLevel="0" collapsed="false">
      <c r="A3" s="0" t="n">
        <v>0</v>
      </c>
      <c r="B3" s="0" t="n">
        <v>2353</v>
      </c>
      <c r="C3" s="0" t="n">
        <v>1294</v>
      </c>
      <c r="D3" s="0" t="n">
        <v>993</v>
      </c>
      <c r="F3" s="4"/>
      <c r="G3" s="0" t="n">
        <v>96</v>
      </c>
      <c r="H3" s="0" t="n">
        <v>1879</v>
      </c>
      <c r="I3" s="0" t="n">
        <v>634</v>
      </c>
      <c r="J3" s="0" t="n">
        <f aca="false">INT(SQRT((G3-G4)*(G3-G4)+(H3-H4)*(H3-H4)) +0.5)</f>
        <v>586</v>
      </c>
    </row>
    <row r="4" customFormat="false" ht="13.8" hidden="false" customHeight="false" outlineLevel="0" collapsed="false">
      <c r="A4" s="0" t="n">
        <v>1</v>
      </c>
      <c r="B4" s="0" t="n">
        <v>54</v>
      </c>
      <c r="C4" s="0" t="n">
        <v>235</v>
      </c>
      <c r="D4" s="0" t="n">
        <v>208</v>
      </c>
      <c r="G4" s="0" t="n">
        <v>221</v>
      </c>
      <c r="H4" s="0" t="n">
        <v>1306</v>
      </c>
      <c r="I4" s="0" t="n">
        <v>533</v>
      </c>
      <c r="J4" s="0" t="n">
        <f aca="false">INT(SQRT((G4-G5)*(G4-G5)+(H4-H5)*(H4-H5)) +0.5)</f>
        <v>250</v>
      </c>
    </row>
    <row r="5" customFormat="false" ht="13.8" hidden="false" customHeight="false" outlineLevel="0" collapsed="false">
      <c r="A5" s="0" t="n">
        <v>2</v>
      </c>
      <c r="B5" s="0" t="n">
        <v>3506</v>
      </c>
      <c r="C5" s="0" t="n">
        <v>112</v>
      </c>
      <c r="D5" s="0" t="n">
        <v>126</v>
      </c>
      <c r="G5" s="0" t="n">
        <v>17</v>
      </c>
      <c r="H5" s="0" t="n">
        <v>1161</v>
      </c>
      <c r="I5" s="0" t="n">
        <v>539</v>
      </c>
      <c r="J5" s="0" t="n">
        <f aca="false">INT(SQRT((G5-G6)*(G5-G6)+(H5-H6)*(H5-H6)) +0.5)</f>
        <v>76</v>
      </c>
    </row>
    <row r="6" customFormat="false" ht="13.8" hidden="false" customHeight="false" outlineLevel="0" collapsed="false">
      <c r="A6" s="0" t="n">
        <v>3</v>
      </c>
      <c r="B6" s="0" t="n">
        <v>2085</v>
      </c>
      <c r="C6" s="0" t="n">
        <v>1111</v>
      </c>
      <c r="D6" s="0" t="n">
        <v>399</v>
      </c>
      <c r="G6" s="0" t="n">
        <v>90</v>
      </c>
      <c r="H6" s="0" t="n">
        <v>1139</v>
      </c>
      <c r="I6" s="0" t="n">
        <v>124</v>
      </c>
      <c r="J6" s="0" t="n">
        <f aca="false">INT(SQRT((G6-G7)*(G6-G7)+(H6-H7)*(H6-H7)) +0.5)</f>
        <v>62</v>
      </c>
    </row>
    <row r="7" customFormat="false" ht="13.8" hidden="false" customHeight="false" outlineLevel="0" collapsed="false">
      <c r="A7" s="0" t="n">
        <v>4</v>
      </c>
      <c r="B7" s="0" t="n">
        <v>1468</v>
      </c>
      <c r="C7" s="0" t="n">
        <v>899</v>
      </c>
      <c r="D7" s="0" t="n">
        <v>827</v>
      </c>
      <c r="G7" s="0" t="n">
        <v>123</v>
      </c>
      <c r="H7" s="0" t="n">
        <v>1087</v>
      </c>
      <c r="I7" s="0" t="n">
        <v>27</v>
      </c>
      <c r="J7" s="0" t="n">
        <f aca="false">INT(SQRT((G7-G8)*(G7-G8)+(H7-H8)*(H7-H8)) +0.5)</f>
        <v>198</v>
      </c>
    </row>
    <row r="8" customFormat="false" ht="13.8" hidden="false" customHeight="false" outlineLevel="0" collapsed="false">
      <c r="A8" s="0" t="n">
        <v>5</v>
      </c>
      <c r="B8" s="0" t="n">
        <v>559</v>
      </c>
      <c r="C8" s="0" t="n">
        <v>520</v>
      </c>
      <c r="D8" s="0" t="n">
        <v>843</v>
      </c>
      <c r="G8" s="0" t="n">
        <v>48</v>
      </c>
      <c r="H8" s="0" t="n">
        <v>904</v>
      </c>
      <c r="I8" s="0" t="n">
        <v>346</v>
      </c>
      <c r="J8" s="0" t="n">
        <f aca="false">INT(SQRT((G8-G9)*(G8-G9)+(H8-H9)*(H8-H9)) +0.5)</f>
        <v>253</v>
      </c>
    </row>
    <row r="9" customFormat="false" ht="13.8" hidden="false" customHeight="false" outlineLevel="0" collapsed="false">
      <c r="A9" s="0" t="n">
        <v>6</v>
      </c>
      <c r="B9" s="0" t="n">
        <v>540</v>
      </c>
      <c r="C9" s="0" t="n">
        <v>578</v>
      </c>
      <c r="D9" s="0" t="n">
        <v>273</v>
      </c>
      <c r="G9" s="0" t="n">
        <v>230</v>
      </c>
      <c r="H9" s="0" t="n">
        <v>1080</v>
      </c>
      <c r="I9" s="0" t="n">
        <v>1059</v>
      </c>
      <c r="J9" s="0" t="n">
        <f aca="false">INT(SQRT((G9-G10)*(G9-G10)+(H9-H10)*(H9-H10)) +0.5)</f>
        <v>108</v>
      </c>
    </row>
    <row r="10" customFormat="false" ht="13.8" hidden="false" customHeight="false" outlineLevel="0" collapsed="false">
      <c r="A10" s="0" t="n">
        <v>7</v>
      </c>
      <c r="B10" s="0" t="n">
        <v>864</v>
      </c>
      <c r="C10" s="0" t="n">
        <v>1903</v>
      </c>
      <c r="D10" s="0" t="n">
        <v>937</v>
      </c>
      <c r="G10" s="0" t="n">
        <v>338</v>
      </c>
      <c r="H10" s="0" t="n">
        <v>1084</v>
      </c>
      <c r="I10" s="0" t="n">
        <v>573</v>
      </c>
      <c r="J10" s="0" t="n">
        <f aca="false">INT(SQRT((G10-G11)*(G10-G11)+(H10-H11)*(H10-H11)) +0.5)</f>
        <v>222</v>
      </c>
    </row>
    <row r="11" customFormat="false" ht="13.8" hidden="false" customHeight="false" outlineLevel="0" collapsed="false">
      <c r="A11" s="0" t="n">
        <v>8</v>
      </c>
      <c r="B11" s="0" t="n">
        <v>1750</v>
      </c>
      <c r="C11" s="0" t="n">
        <v>1331</v>
      </c>
      <c r="D11" s="0" t="n">
        <v>548</v>
      </c>
      <c r="G11" s="0" t="n">
        <v>429</v>
      </c>
      <c r="H11" s="0" t="n">
        <v>1287</v>
      </c>
      <c r="I11" s="0" t="n">
        <v>678</v>
      </c>
      <c r="J11" s="0" t="n">
        <f aca="false">INT(SQRT((G11-G12)*(G11-G12)+(H11-H12)*(H11-H12)) +0.5)</f>
        <v>131</v>
      </c>
    </row>
    <row r="12" customFormat="false" ht="13.8" hidden="false" customHeight="false" outlineLevel="0" collapsed="false">
      <c r="A12" s="0" t="n">
        <v>9</v>
      </c>
      <c r="B12" s="0" t="n">
        <v>3547</v>
      </c>
      <c r="C12" s="0" t="n">
        <v>82</v>
      </c>
      <c r="D12" s="0" t="n">
        <v>799</v>
      </c>
      <c r="G12" s="0" t="n">
        <v>546</v>
      </c>
      <c r="H12" s="0" t="n">
        <v>1229</v>
      </c>
      <c r="I12" s="0" t="n">
        <v>446</v>
      </c>
      <c r="J12" s="0" t="n">
        <f aca="false">INT(SQRT((G12-G13)*(G12-G13)+(H12-H13)*(H12-H13)) +0.5)</f>
        <v>216</v>
      </c>
    </row>
    <row r="13" customFormat="false" ht="13.8" hidden="false" customHeight="false" outlineLevel="0" collapsed="false">
      <c r="A13" s="0" t="n">
        <v>10</v>
      </c>
      <c r="B13" s="0" t="n">
        <v>3572</v>
      </c>
      <c r="C13" s="0" t="n">
        <v>1221</v>
      </c>
      <c r="D13" s="0" t="n">
        <v>245</v>
      </c>
      <c r="G13" s="0" t="n">
        <v>759</v>
      </c>
      <c r="H13" s="0" t="n">
        <v>1191</v>
      </c>
      <c r="I13" s="0" t="n">
        <v>949</v>
      </c>
      <c r="J13" s="0" t="n">
        <f aca="false">INT(SQRT((G13-G14)*(G13-G14)+(H13-H14)*(H13-H14)) +0.5)</f>
        <v>133</v>
      </c>
    </row>
    <row r="14" customFormat="false" ht="13.8" hidden="false" customHeight="false" outlineLevel="0" collapsed="false">
      <c r="A14" s="0" t="n">
        <v>11</v>
      </c>
      <c r="B14" s="0" t="n">
        <v>2375</v>
      </c>
      <c r="C14" s="0" t="n">
        <v>732</v>
      </c>
      <c r="D14" s="0" t="n">
        <v>715</v>
      </c>
      <c r="G14" s="0" t="n">
        <v>731</v>
      </c>
      <c r="H14" s="0" t="n">
        <v>1061</v>
      </c>
      <c r="I14" s="0" t="n">
        <v>226</v>
      </c>
      <c r="J14" s="0" t="n">
        <f aca="false">INT(SQRT((G14-G15)*(G14-G15)+(H14-H15)*(H14-H15)) +0.5)</f>
        <v>36</v>
      </c>
    </row>
    <row r="15" customFormat="false" ht="13.8" hidden="false" customHeight="false" outlineLevel="0" collapsed="false">
      <c r="A15" s="0" t="n">
        <v>12</v>
      </c>
      <c r="B15" s="0" t="n">
        <v>3256</v>
      </c>
      <c r="C15" s="0" t="n">
        <v>1506</v>
      </c>
      <c r="D15" s="0" t="n">
        <v>960</v>
      </c>
      <c r="G15" s="0" t="n">
        <v>742</v>
      </c>
      <c r="H15" s="0" t="n">
        <v>1027</v>
      </c>
      <c r="I15" s="0" t="n">
        <v>997</v>
      </c>
      <c r="J15" s="0" t="n">
        <f aca="false">INT(SQRT((G15-G16)*(G15-G16)+(H15-H16)*(H15-H16)) +0.5)</f>
        <v>74</v>
      </c>
    </row>
    <row r="16" customFormat="false" ht="13.8" hidden="false" customHeight="false" outlineLevel="0" collapsed="false">
      <c r="A16" s="0" t="n">
        <v>13</v>
      </c>
      <c r="B16" s="0" t="n">
        <v>85</v>
      </c>
      <c r="C16" s="0" t="n">
        <v>1765</v>
      </c>
      <c r="D16" s="0" t="n">
        <v>525</v>
      </c>
      <c r="G16" s="0" t="n">
        <v>692</v>
      </c>
      <c r="H16" s="0" t="n">
        <v>972</v>
      </c>
      <c r="I16" s="0" t="n">
        <v>909</v>
      </c>
      <c r="J16" s="0" t="n">
        <f aca="false">INT(SQRT((G16-G17)*(G16-G17)+(H16-H17)*(H16-H17)) +0.5)</f>
        <v>517</v>
      </c>
    </row>
    <row r="17" customFormat="false" ht="13.8" hidden="false" customHeight="false" outlineLevel="0" collapsed="false">
      <c r="A17" s="0" t="n">
        <v>14</v>
      </c>
      <c r="B17" s="0" t="n">
        <v>3440</v>
      </c>
      <c r="C17" s="0" t="n">
        <v>283</v>
      </c>
      <c r="D17" s="0" t="n">
        <v>181</v>
      </c>
      <c r="G17" s="0" t="n">
        <v>392</v>
      </c>
      <c r="H17" s="0" t="n">
        <v>551</v>
      </c>
      <c r="I17" s="0" t="n">
        <v>196</v>
      </c>
      <c r="J17" s="0" t="n">
        <f aca="false">INT(SQRT((G17-G18)*(G17-G18)+(H17-H18)*(H17-H18)) +0.5)</f>
        <v>59</v>
      </c>
    </row>
    <row r="18" customFormat="false" ht="13.8" hidden="false" customHeight="false" outlineLevel="0" collapsed="false">
      <c r="A18" s="0" t="n">
        <v>15</v>
      </c>
      <c r="B18" s="0" t="n">
        <v>794</v>
      </c>
      <c r="C18" s="0" t="n">
        <v>1400</v>
      </c>
      <c r="D18" s="0" t="n">
        <v>809</v>
      </c>
      <c r="G18" s="0" t="n">
        <v>386</v>
      </c>
      <c r="H18" s="0" t="n">
        <v>492</v>
      </c>
      <c r="I18" s="0" t="n">
        <v>592</v>
      </c>
      <c r="J18" s="0" t="n">
        <f aca="false">INT(SQRT((G18-G19)*(G18-G19)+(H18-H19)*(H18-H19)) +0.5)</f>
        <v>372</v>
      </c>
    </row>
    <row r="19" customFormat="false" ht="13.8" hidden="false" customHeight="false" outlineLevel="0" collapsed="false">
      <c r="A19" s="0" t="n">
        <v>16</v>
      </c>
      <c r="B19" s="0" t="n">
        <v>1743</v>
      </c>
      <c r="C19" s="0" t="n">
        <v>1951</v>
      </c>
      <c r="D19" s="0" t="n">
        <v>963</v>
      </c>
      <c r="G19" s="0" t="n">
        <v>758</v>
      </c>
      <c r="H19" s="0" t="n">
        <v>497</v>
      </c>
      <c r="I19" s="0" t="n">
        <v>914</v>
      </c>
      <c r="J19" s="0" t="n">
        <f aca="false">INT(SQRT((G19-G20)*(G19-G20)+(H19-H20)*(H19-H20)) +0.5)</f>
        <v>248</v>
      </c>
    </row>
    <row r="20" customFormat="false" ht="13.8" hidden="false" customHeight="false" outlineLevel="0" collapsed="false">
      <c r="A20" s="0" t="n">
        <v>17</v>
      </c>
      <c r="B20" s="0" t="n">
        <v>3088</v>
      </c>
      <c r="C20" s="0" t="n">
        <v>3</v>
      </c>
      <c r="D20" s="0" t="n">
        <v>550</v>
      </c>
      <c r="G20" s="0" t="n">
        <v>972</v>
      </c>
      <c r="H20" s="0" t="n">
        <v>623</v>
      </c>
      <c r="I20" s="0" t="n">
        <v>347</v>
      </c>
      <c r="J20" s="0" t="n">
        <f aca="false">INT(SQRT((G20-G21)*(G20-G21)+(H20-H21)*(H20-H21)) +0.5)</f>
        <v>165</v>
      </c>
    </row>
    <row r="21" customFormat="false" ht="13.8" hidden="false" customHeight="false" outlineLevel="0" collapsed="false">
      <c r="A21" s="0" t="n">
        <v>18</v>
      </c>
      <c r="B21" s="0" t="n">
        <v>3356</v>
      </c>
      <c r="C21" s="0" t="n">
        <v>1553</v>
      </c>
      <c r="D21" s="0" t="n">
        <v>732</v>
      </c>
      <c r="G21" s="0" t="n">
        <v>1023</v>
      </c>
      <c r="H21" s="0" t="n">
        <v>466</v>
      </c>
      <c r="I21" s="0" t="n">
        <v>67</v>
      </c>
      <c r="J21" s="0" t="n">
        <f aca="false">INT(SQRT((G21-G22)*(G21-G22)+(H21-H22)*(H21-H22)) +0.5)</f>
        <v>320</v>
      </c>
    </row>
    <row r="22" customFormat="false" ht="13.8" hidden="false" customHeight="false" outlineLevel="0" collapsed="false">
      <c r="A22" s="0" t="n">
        <v>19</v>
      </c>
      <c r="B22" s="0" t="n">
        <v>502</v>
      </c>
      <c r="C22" s="0" t="n">
        <v>796</v>
      </c>
      <c r="D22" s="0" t="n">
        <v>690</v>
      </c>
      <c r="G22" s="0" t="n">
        <v>901</v>
      </c>
      <c r="H22" s="0" t="n">
        <v>170</v>
      </c>
      <c r="I22" s="0" t="n">
        <v>497</v>
      </c>
      <c r="J22" s="0" t="n">
        <f aca="false">INT(SQRT((G22-G23)*(G22-G23)+(H22-H23)*(H22-H23)) +0.5)</f>
        <v>65</v>
      </c>
    </row>
    <row r="23" customFormat="false" ht="13.8" hidden="false" customHeight="false" outlineLevel="0" collapsed="false">
      <c r="A23" s="0" t="n">
        <v>20</v>
      </c>
      <c r="B23" s="0" t="n">
        <v>3347</v>
      </c>
      <c r="C23" s="0" t="n">
        <v>275</v>
      </c>
      <c r="D23" s="0" t="n">
        <v>86</v>
      </c>
      <c r="G23" s="0" t="n">
        <v>964</v>
      </c>
      <c r="H23" s="0" t="n">
        <v>186</v>
      </c>
      <c r="I23" s="0" t="n">
        <v>387</v>
      </c>
      <c r="J23" s="0" t="n">
        <f aca="false">INT(SQRT((G23-G24)*(G23-G24)+(H23-H24)*(H23-H24)) +0.5)</f>
        <v>236</v>
      </c>
    </row>
    <row r="24" customFormat="false" ht="13.8" hidden="false" customHeight="false" outlineLevel="0" collapsed="false">
      <c r="A24" s="0" t="n">
        <v>21</v>
      </c>
      <c r="B24" s="0" t="n">
        <v>1297</v>
      </c>
      <c r="C24" s="0" t="n">
        <v>1216</v>
      </c>
      <c r="D24" s="0" t="n">
        <v>394</v>
      </c>
      <c r="G24" s="0" t="n">
        <v>1146</v>
      </c>
      <c r="H24" s="0" t="n">
        <v>337</v>
      </c>
      <c r="I24" s="0" t="n">
        <v>910</v>
      </c>
      <c r="J24" s="0" t="n">
        <f aca="false">INT(SQRT((G24-G25)*(G24-G25)+(H24-H25)*(H24-H25)) +0.5)</f>
        <v>272</v>
      </c>
    </row>
    <row r="25" customFormat="false" ht="13.8" hidden="false" customHeight="false" outlineLevel="0" collapsed="false">
      <c r="A25" s="0" t="n">
        <v>22</v>
      </c>
      <c r="B25" s="0" t="n">
        <v>2104</v>
      </c>
      <c r="C25" s="0" t="n">
        <v>899</v>
      </c>
      <c r="D25" s="0" t="n">
        <v>931</v>
      </c>
      <c r="G25" s="0" t="n">
        <v>1225</v>
      </c>
      <c r="H25" s="0" t="n">
        <v>597</v>
      </c>
      <c r="I25" s="0" t="n">
        <v>61</v>
      </c>
      <c r="J25" s="0" t="n">
        <f aca="false">INT(SQRT((G25-G26)*(G25-G26)+(H25-H26)*(H25-H26)) +0.5)</f>
        <v>231</v>
      </c>
    </row>
    <row r="26" customFormat="false" ht="13.8" hidden="false" customHeight="false" outlineLevel="0" collapsed="false">
      <c r="A26" s="0" t="n">
        <v>23</v>
      </c>
      <c r="B26" s="0" t="n">
        <v>3856</v>
      </c>
      <c r="C26" s="0" t="n">
        <v>1</v>
      </c>
      <c r="D26" s="0" t="n">
        <v>959</v>
      </c>
      <c r="G26" s="0" t="n">
        <v>1455</v>
      </c>
      <c r="H26" s="0" t="n">
        <v>575</v>
      </c>
      <c r="I26" s="0" t="n">
        <v>407</v>
      </c>
      <c r="J26" s="0" t="n">
        <f aca="false">INT(SQRT((G26-G27)*(G26-G27)+(H26-H27)*(H26-H27)) +0.5)</f>
        <v>338</v>
      </c>
    </row>
    <row r="27" customFormat="false" ht="13.8" hidden="false" customHeight="false" outlineLevel="0" collapsed="false">
      <c r="A27" s="0" t="n">
        <v>24</v>
      </c>
      <c r="B27" s="0" t="n">
        <v>2330</v>
      </c>
      <c r="C27" s="0" t="n">
        <v>618</v>
      </c>
      <c r="D27" s="0" t="n">
        <v>392</v>
      </c>
      <c r="G27" s="0" t="n">
        <v>1791</v>
      </c>
      <c r="H27" s="0" t="n">
        <v>607</v>
      </c>
      <c r="I27" s="0" t="n">
        <v>491</v>
      </c>
      <c r="J27" s="0" t="n">
        <f aca="false">INT(SQRT((G27-G28)*(G27-G28)+(H27-H28)*(H27-H28)) +0.5)</f>
        <v>201</v>
      </c>
    </row>
    <row r="28" customFormat="false" ht="13.8" hidden="false" customHeight="false" outlineLevel="0" collapsed="false">
      <c r="A28" s="0" t="n">
        <v>25</v>
      </c>
      <c r="B28" s="0" t="n">
        <v>2099</v>
      </c>
      <c r="C28" s="0" t="n">
        <v>639</v>
      </c>
      <c r="D28" s="0" t="n">
        <v>685</v>
      </c>
      <c r="G28" s="0" t="n">
        <v>1972</v>
      </c>
      <c r="H28" s="0" t="n">
        <v>519</v>
      </c>
      <c r="I28" s="0" t="n">
        <v>781</v>
      </c>
      <c r="J28" s="0" t="n">
        <f aca="false">INT(SQRT((G28-G29)*(G28-G29)+(H28-H29)*(H28-H29)) +0.5)</f>
        <v>127</v>
      </c>
    </row>
    <row r="29" customFormat="false" ht="13.8" hidden="false" customHeight="false" outlineLevel="0" collapsed="false">
      <c r="A29" s="0" t="n">
        <v>26</v>
      </c>
      <c r="B29" s="0" t="n">
        <v>770</v>
      </c>
      <c r="C29" s="0" t="n">
        <v>1000</v>
      </c>
      <c r="D29" s="0" t="n">
        <v>557</v>
      </c>
      <c r="G29" s="0" t="n">
        <v>1997</v>
      </c>
      <c r="H29" s="0" t="n">
        <v>394</v>
      </c>
      <c r="I29" s="0" t="n">
        <v>110</v>
      </c>
      <c r="J29" s="0" t="n">
        <f aca="false">INT(SQRT((G29-G30)*(G29-G30)+(H29-H30)*(H29-H30)) +0.5)</f>
        <v>395</v>
      </c>
    </row>
    <row r="30" customFormat="false" ht="13.8" hidden="false" customHeight="false" outlineLevel="0" collapsed="false">
      <c r="A30" s="0" t="n">
        <v>27</v>
      </c>
      <c r="B30" s="0" t="n">
        <v>2271</v>
      </c>
      <c r="C30" s="0" t="n">
        <v>941</v>
      </c>
      <c r="D30" s="0" t="n">
        <v>520</v>
      </c>
      <c r="G30" s="0" t="n">
        <v>1891</v>
      </c>
      <c r="H30" s="0" t="n">
        <v>14</v>
      </c>
      <c r="I30" s="0" t="n">
        <v>500</v>
      </c>
      <c r="J30" s="0" t="n">
        <f aca="false">INT(SQRT((G30-G31)*(G30-G31)+(H30-H31)*(H30-H31)) +0.5)</f>
        <v>276</v>
      </c>
    </row>
    <row r="31" customFormat="false" ht="13.8" hidden="false" customHeight="false" outlineLevel="0" collapsed="false">
      <c r="A31" s="0" t="n">
        <v>28</v>
      </c>
      <c r="B31" s="0" t="n">
        <v>154</v>
      </c>
      <c r="C31" s="0" t="n">
        <v>1474</v>
      </c>
      <c r="D31" s="0" t="n">
        <v>79</v>
      </c>
      <c r="G31" s="0" t="n">
        <v>2142</v>
      </c>
      <c r="H31" s="0" t="n">
        <v>129</v>
      </c>
      <c r="I31" s="0" t="n">
        <v>724</v>
      </c>
      <c r="J31" s="0" t="n">
        <f aca="false">INT(SQRT((G31-G32)*(G31-G32)+(H31-H32)*(H31-H32)) +0.5)</f>
        <v>339</v>
      </c>
    </row>
    <row r="32" customFormat="false" ht="13.8" hidden="false" customHeight="false" outlineLevel="0" collapsed="false">
      <c r="A32" s="0" t="n">
        <v>29</v>
      </c>
      <c r="B32" s="0" t="n">
        <v>432</v>
      </c>
      <c r="C32" s="0" t="n">
        <v>517</v>
      </c>
      <c r="D32" s="0" t="n">
        <v>315</v>
      </c>
      <c r="G32" s="0" t="n">
        <v>2474</v>
      </c>
      <c r="H32" s="0" t="n">
        <v>60</v>
      </c>
      <c r="I32" s="0" t="n">
        <v>667</v>
      </c>
      <c r="J32" s="0" t="n">
        <f aca="false">INT(SQRT((G32-G33)*(G32-G33)+(H32-H33)*(H32-H33)) +0.5)</f>
        <v>183</v>
      </c>
    </row>
    <row r="33" customFormat="false" ht="13.8" hidden="false" customHeight="false" outlineLevel="0" collapsed="false">
      <c r="A33" s="0" t="n">
        <v>30</v>
      </c>
      <c r="B33" s="0" t="n">
        <v>1263</v>
      </c>
      <c r="C33" s="0" t="n">
        <v>1301</v>
      </c>
      <c r="D33" s="0" t="n">
        <v>410</v>
      </c>
      <c r="G33" s="0" t="n">
        <v>2586</v>
      </c>
      <c r="H33" s="0" t="n">
        <v>205</v>
      </c>
      <c r="I33" s="0" t="n">
        <v>567</v>
      </c>
      <c r="J33" s="0" t="n">
        <f aca="false">INT(SQRT((G33-G34)*(G33-G34)+(H33-H34)*(H33-H34)) +0.5)</f>
        <v>286</v>
      </c>
    </row>
    <row r="34" customFormat="false" ht="13.8" hidden="false" customHeight="false" outlineLevel="0" collapsed="false">
      <c r="A34" s="0" t="n">
        <v>31</v>
      </c>
      <c r="B34" s="0" t="n">
        <v>2495</v>
      </c>
      <c r="C34" s="0" t="n">
        <v>502</v>
      </c>
      <c r="D34" s="0" t="n">
        <v>671</v>
      </c>
      <c r="G34" s="0" t="n">
        <v>2363</v>
      </c>
      <c r="H34" s="0" t="n">
        <v>384</v>
      </c>
      <c r="I34" s="0" t="n">
        <v>223</v>
      </c>
      <c r="J34" s="0" t="n">
        <f aca="false">INT(SQRT((G34-G35)*(G34-G35)+(H34-H35)*(H34-H35)) +0.5)</f>
        <v>152</v>
      </c>
    </row>
    <row r="35" customFormat="false" ht="13.8" hidden="false" customHeight="false" outlineLevel="0" collapsed="false">
      <c r="A35" s="0" t="n">
        <v>32</v>
      </c>
      <c r="B35" s="0" t="n">
        <v>2066</v>
      </c>
      <c r="C35" s="0" t="n">
        <v>1754</v>
      </c>
      <c r="D35" s="0" t="n">
        <v>828</v>
      </c>
      <c r="G35" s="0" t="n">
        <v>2388</v>
      </c>
      <c r="H35" s="0" t="n">
        <v>534</v>
      </c>
      <c r="I35" s="0" t="n">
        <v>477</v>
      </c>
      <c r="J35" s="0" t="n">
        <f aca="false">INT(SQRT((G35-G36)*(G35-G36)+(H35-H36)*(H35-H36)) +0.5)</f>
        <v>201</v>
      </c>
    </row>
    <row r="36" customFormat="false" ht="13.8" hidden="false" customHeight="false" outlineLevel="0" collapsed="false">
      <c r="A36" s="0" t="n">
        <v>33</v>
      </c>
      <c r="B36" s="0" t="n">
        <v>1307</v>
      </c>
      <c r="C36" s="0" t="n">
        <v>748</v>
      </c>
      <c r="D36" s="0" t="n">
        <v>660</v>
      </c>
      <c r="G36" s="0" t="n">
        <v>2589</v>
      </c>
      <c r="H36" s="0" t="n">
        <v>522</v>
      </c>
      <c r="I36" s="0" t="n">
        <v>236</v>
      </c>
      <c r="J36" s="0" t="n">
        <f aca="false">INT(SQRT((G36-G37)*(G36-G37)+(H36-H37)*(H36-H37)) +0.5)</f>
        <v>217</v>
      </c>
    </row>
    <row r="37" customFormat="false" ht="13.8" hidden="false" customHeight="false" outlineLevel="0" collapsed="false">
      <c r="A37" s="0" t="n">
        <v>34</v>
      </c>
      <c r="B37" s="0" t="n">
        <v>2308</v>
      </c>
      <c r="C37" s="0" t="n">
        <v>609</v>
      </c>
      <c r="D37" s="0" t="n">
        <v>380</v>
      </c>
      <c r="G37" s="0" t="n">
        <v>2785</v>
      </c>
      <c r="H37" s="0" t="n">
        <v>614</v>
      </c>
      <c r="I37" s="0" t="n">
        <v>1018</v>
      </c>
      <c r="J37" s="0" t="n">
        <f aca="false">INT(SQRT((G37-G38)*(G37-G38)+(H37-H38)*(H37-H38)) +0.5)</f>
        <v>77</v>
      </c>
    </row>
    <row r="38" customFormat="false" ht="13.8" hidden="false" customHeight="false" outlineLevel="0" collapsed="false">
      <c r="A38" s="0" t="n">
        <v>35</v>
      </c>
      <c r="B38" s="0" t="n">
        <v>2413</v>
      </c>
      <c r="C38" s="0" t="n">
        <v>851</v>
      </c>
      <c r="D38" s="0" t="n">
        <v>922</v>
      </c>
      <c r="G38" s="0" t="n">
        <v>2855</v>
      </c>
      <c r="H38" s="0" t="n">
        <v>647</v>
      </c>
      <c r="I38" s="0" t="n">
        <v>332</v>
      </c>
      <c r="J38" s="0" t="n">
        <f aca="false">INT(SQRT((G38-G39)*(G38-G39)+(H38-H39)*(H38-H39)) +0.5)</f>
        <v>189</v>
      </c>
    </row>
    <row r="39" customFormat="false" ht="13.8" hidden="false" customHeight="false" outlineLevel="0" collapsed="false">
      <c r="A39" s="0" t="n">
        <v>36</v>
      </c>
      <c r="B39" s="0" t="n">
        <v>538</v>
      </c>
      <c r="C39" s="0" t="n">
        <v>367</v>
      </c>
      <c r="D39" s="0" t="n">
        <v>543</v>
      </c>
      <c r="G39" s="0" t="n">
        <v>2870</v>
      </c>
      <c r="H39" s="0" t="n">
        <v>835</v>
      </c>
      <c r="I39" s="0" t="n">
        <v>221</v>
      </c>
      <c r="J39" s="0" t="n">
        <f aca="false">INT(SQRT((G39-G40)*(G39-G40)+(H39-H40)*(H39-H40)) +0.5)</f>
        <v>316</v>
      </c>
    </row>
    <row r="40" customFormat="false" ht="13.8" hidden="false" customHeight="false" outlineLevel="0" collapsed="false">
      <c r="A40" s="0" t="n">
        <v>37</v>
      </c>
      <c r="B40" s="0" t="n">
        <v>110</v>
      </c>
      <c r="C40" s="0" t="n">
        <v>1989</v>
      </c>
      <c r="D40" s="0" t="n">
        <v>272</v>
      </c>
      <c r="G40" s="0" t="n">
        <v>3070</v>
      </c>
      <c r="H40" s="0" t="n">
        <v>590</v>
      </c>
      <c r="I40" s="0" t="n">
        <v>628</v>
      </c>
      <c r="J40" s="0" t="n">
        <f aca="false">INT(SQRT((G40-G41)*(G40-G41)+(H40-H41)*(H40-H41)) +0.5)</f>
        <v>117</v>
      </c>
    </row>
    <row r="41" customFormat="false" ht="13.8" hidden="false" customHeight="false" outlineLevel="0" collapsed="false">
      <c r="A41" s="0" t="n">
        <v>38</v>
      </c>
      <c r="B41" s="0" t="n">
        <v>1168</v>
      </c>
      <c r="C41" s="0" t="n">
        <v>1140</v>
      </c>
      <c r="D41" s="0" t="n">
        <v>394</v>
      </c>
      <c r="G41" s="0" t="n">
        <v>3185</v>
      </c>
      <c r="H41" s="0" t="n">
        <v>609</v>
      </c>
      <c r="I41" s="0" t="n">
        <v>144</v>
      </c>
      <c r="J41" s="0" t="n">
        <f aca="false">INT(SQRT((G41-G42)*(G41-G42)+(H41-H42)*(H41-H42)) +0.5)</f>
        <v>172</v>
      </c>
    </row>
    <row r="42" customFormat="false" ht="13.8" hidden="false" customHeight="false" outlineLevel="0" collapsed="false">
      <c r="A42" s="0" t="n">
        <v>39</v>
      </c>
      <c r="B42" s="0" t="n">
        <v>2846</v>
      </c>
      <c r="C42" s="0" t="n">
        <v>61</v>
      </c>
      <c r="D42" s="0" t="n">
        <v>678</v>
      </c>
      <c r="G42" s="0" t="n">
        <v>3349</v>
      </c>
      <c r="H42" s="0" t="n">
        <v>556</v>
      </c>
      <c r="I42" s="0" t="n">
        <v>916</v>
      </c>
      <c r="J42" s="0" t="n">
        <f aca="false">INT(SQRT((G42-G43)*(G42-G43)+(H42-H43)*(H42-H43)) +0.5)</f>
        <v>121</v>
      </c>
    </row>
    <row r="43" customFormat="false" ht="13.8" hidden="false" customHeight="false" outlineLevel="0" collapsed="false">
      <c r="A43" s="0" t="n">
        <v>40</v>
      </c>
      <c r="B43" s="0" t="n">
        <v>1193</v>
      </c>
      <c r="C43" s="0" t="n">
        <v>522</v>
      </c>
      <c r="D43" s="0" t="n">
        <v>102</v>
      </c>
      <c r="G43" s="0" t="n">
        <v>3267</v>
      </c>
      <c r="H43" s="0" t="n">
        <v>467</v>
      </c>
      <c r="I43" s="0" t="n">
        <v>240</v>
      </c>
      <c r="J43" s="0" t="n">
        <f aca="false">INT(SQRT((G43-G44)*(G43-G44)+(H43-H44)*(H43-H44)) +0.5)</f>
        <v>43</v>
      </c>
    </row>
    <row r="44" customFormat="false" ht="13.8" hidden="false" customHeight="false" outlineLevel="0" collapsed="false">
      <c r="A44" s="0" t="n">
        <v>41</v>
      </c>
      <c r="B44" s="0" t="n">
        <v>3381</v>
      </c>
      <c r="C44" s="0" t="n">
        <v>1239</v>
      </c>
      <c r="D44" s="0" t="n">
        <v>814</v>
      </c>
      <c r="G44" s="0" t="n">
        <v>3225</v>
      </c>
      <c r="H44" s="0" t="n">
        <v>458</v>
      </c>
      <c r="I44" s="0" t="n">
        <v>870</v>
      </c>
      <c r="J44" s="0" t="n">
        <f aca="false">INT(SQRT((G44-G45)*(G44-G45)+(H44-H45)*(H44-H45)) +0.5)</f>
        <v>165</v>
      </c>
    </row>
    <row r="45" customFormat="false" ht="13.8" hidden="false" customHeight="false" outlineLevel="0" collapsed="false">
      <c r="A45" s="0" t="n">
        <v>42</v>
      </c>
      <c r="B45" s="0" t="n">
        <v>912</v>
      </c>
      <c r="C45" s="0" t="n">
        <v>1974</v>
      </c>
      <c r="D45" s="0" t="n">
        <v>578</v>
      </c>
      <c r="G45" s="0" t="n">
        <v>3062</v>
      </c>
      <c r="H45" s="0" t="n">
        <v>433</v>
      </c>
      <c r="I45" s="0" t="n">
        <v>621</v>
      </c>
      <c r="J45" s="0" t="n">
        <f aca="false">INT(SQRT((G45-G46)*(G45-G46)+(H45-H46)*(H45-H46)) +0.5)</f>
        <v>251</v>
      </c>
    </row>
    <row r="46" customFormat="false" ht="13.8" hidden="false" customHeight="false" outlineLevel="0" collapsed="false">
      <c r="A46" s="0" t="n">
        <v>43</v>
      </c>
      <c r="B46" s="0" t="n">
        <v>1942</v>
      </c>
      <c r="C46" s="0" t="n">
        <v>1781</v>
      </c>
      <c r="D46" s="0" t="n">
        <v>756</v>
      </c>
      <c r="G46" s="0" t="n">
        <v>2871</v>
      </c>
      <c r="H46" s="0" t="n">
        <v>270</v>
      </c>
      <c r="I46" s="0" t="n">
        <v>985</v>
      </c>
      <c r="J46" s="0" t="n">
        <f aca="false">INT(SQRT((G46-G47)*(G46-G47)+(H46-H47)*(H46-H47)) +0.5)</f>
        <v>195</v>
      </c>
    </row>
    <row r="47" customFormat="false" ht="13.8" hidden="false" customHeight="false" outlineLevel="0" collapsed="false">
      <c r="A47" s="0" t="n">
        <v>44</v>
      </c>
      <c r="B47" s="0" t="n">
        <v>2324</v>
      </c>
      <c r="C47" s="0" t="n">
        <v>1886</v>
      </c>
      <c r="D47" s="0" t="n">
        <v>939</v>
      </c>
      <c r="G47" s="0" t="n">
        <v>2998</v>
      </c>
      <c r="H47" s="0" t="n">
        <v>122</v>
      </c>
      <c r="I47" s="0" t="n">
        <v>698</v>
      </c>
      <c r="J47" s="0" t="n">
        <f aca="false">INT(SQRT((G47-G48)*(G47-G48)+(H47-H48)*(H47-H48)) +0.5)</f>
        <v>236</v>
      </c>
    </row>
    <row r="48" customFormat="false" ht="13.8" hidden="false" customHeight="false" outlineLevel="0" collapsed="false">
      <c r="A48" s="0" t="n">
        <v>45</v>
      </c>
      <c r="B48" s="0" t="n">
        <v>1138</v>
      </c>
      <c r="C48" s="0" t="n">
        <v>136</v>
      </c>
      <c r="D48" s="0" t="n">
        <v>212</v>
      </c>
      <c r="G48" s="0" t="n">
        <v>3223</v>
      </c>
      <c r="H48" s="0" t="n">
        <v>52</v>
      </c>
      <c r="I48" s="0" t="n">
        <v>126</v>
      </c>
      <c r="J48" s="0" t="n">
        <f aca="false">INT(SQRT((G48-G49)*(G48-G49)+(H48-H49)*(H48-H49)) +0.5)</f>
        <v>279</v>
      </c>
    </row>
    <row r="49" customFormat="false" ht="13.8" hidden="false" customHeight="false" outlineLevel="0" collapsed="false">
      <c r="A49" s="0" t="n">
        <v>46</v>
      </c>
      <c r="B49" s="0" t="n">
        <v>2073</v>
      </c>
      <c r="C49" s="0" t="n">
        <v>1391</v>
      </c>
      <c r="D49" s="0" t="n">
        <v>444</v>
      </c>
      <c r="G49" s="0" t="n">
        <v>3502</v>
      </c>
      <c r="H49" s="0" t="n">
        <v>45</v>
      </c>
      <c r="I49" s="0" t="n">
        <v>859</v>
      </c>
      <c r="J49" s="0" t="n">
        <f aca="false">INT(SQRT((G49-G50)*(G49-G50)+(H49-H50)*(H49-H50)) +0.5)</f>
        <v>276</v>
      </c>
    </row>
    <row r="50" customFormat="false" ht="13.8" hidden="false" customHeight="false" outlineLevel="0" collapsed="false">
      <c r="A50" s="0" t="n">
        <v>47</v>
      </c>
      <c r="B50" s="0" t="n">
        <v>1155</v>
      </c>
      <c r="C50" s="0" t="n">
        <v>997</v>
      </c>
      <c r="D50" s="0" t="n">
        <v>203</v>
      </c>
      <c r="G50" s="0" t="n">
        <v>3618</v>
      </c>
      <c r="H50" s="0" t="n">
        <v>295</v>
      </c>
      <c r="I50" s="0" t="n">
        <v>4</v>
      </c>
      <c r="J50" s="0" t="n">
        <f aca="false">INT(SQRT((G50-G51)*(G50-G51)+(H50-H51)*(H50-H51)) +0.5)</f>
        <v>246</v>
      </c>
    </row>
    <row r="51" customFormat="false" ht="13.8" hidden="false" customHeight="false" outlineLevel="0" collapsed="false">
      <c r="A51" s="0" t="n">
        <v>48</v>
      </c>
      <c r="B51" s="0" t="n">
        <v>1741</v>
      </c>
      <c r="C51" s="0" t="n">
        <v>1882</v>
      </c>
      <c r="D51" s="0" t="n">
        <v>482</v>
      </c>
      <c r="G51" s="0" t="n">
        <v>3762</v>
      </c>
      <c r="H51" s="0" t="n">
        <v>95</v>
      </c>
      <c r="I51" s="0" t="n">
        <v>765</v>
      </c>
      <c r="J51" s="0" t="n">
        <f aca="false">INT(SQRT((G51-G52)*(G51-G52)+(H51-H52)*(H51-H52)) +0.5)</f>
        <v>150</v>
      </c>
    </row>
    <row r="52" customFormat="false" ht="13.8" hidden="false" customHeight="false" outlineLevel="0" collapsed="false">
      <c r="A52" s="0" t="n">
        <v>49</v>
      </c>
      <c r="B52" s="0" t="n">
        <v>1509</v>
      </c>
      <c r="C52" s="0" t="n">
        <v>766</v>
      </c>
      <c r="D52" s="0" t="n">
        <v>807</v>
      </c>
      <c r="G52" s="0" t="n">
        <v>3902</v>
      </c>
      <c r="H52" s="0" t="n">
        <v>40</v>
      </c>
      <c r="I52" s="0" t="n">
        <v>667</v>
      </c>
      <c r="J52" s="0" t="n">
        <f aca="false">INT(SQRT((G52-G53)*(G52-G53)+(H52-H53)*(H52-H53)) +0.5)</f>
        <v>65</v>
      </c>
    </row>
    <row r="53" customFormat="false" ht="13.8" hidden="false" customHeight="false" outlineLevel="0" collapsed="false">
      <c r="A53" s="0" t="n">
        <v>50</v>
      </c>
      <c r="B53" s="0" t="n">
        <v>1004</v>
      </c>
      <c r="C53" s="0" t="n">
        <v>1670</v>
      </c>
      <c r="D53" s="0" t="n">
        <v>586</v>
      </c>
      <c r="G53" s="0" t="n">
        <v>3881</v>
      </c>
      <c r="H53" s="0" t="n">
        <v>101</v>
      </c>
      <c r="I53" s="0" t="n">
        <v>854</v>
      </c>
      <c r="J53" s="0" t="n">
        <f aca="false">INT(SQRT((G53-G54)*(G53-G54)+(H53-H54)*(H53-H54)) +0.5)</f>
        <v>41</v>
      </c>
    </row>
    <row r="54" customFormat="false" ht="13.8" hidden="false" customHeight="false" outlineLevel="0" collapsed="false">
      <c r="A54" s="0" t="n">
        <v>51</v>
      </c>
      <c r="B54" s="0" t="n">
        <v>1905</v>
      </c>
      <c r="C54" s="0" t="n">
        <v>368</v>
      </c>
      <c r="D54" s="0" t="n">
        <v>361</v>
      </c>
      <c r="G54" s="0" t="n">
        <v>3858</v>
      </c>
      <c r="H54" s="0" t="n">
        <v>135</v>
      </c>
      <c r="I54" s="0" t="n">
        <v>665</v>
      </c>
      <c r="J54" s="0" t="n">
        <f aca="false">INT(SQRT((G54-G55)*(G54-G55)+(H54-H55)*(H54-H55)) +0.5)</f>
        <v>104</v>
      </c>
    </row>
    <row r="55" customFormat="false" ht="13.8" hidden="false" customHeight="false" outlineLevel="0" collapsed="false">
      <c r="A55" s="0" t="n">
        <v>52</v>
      </c>
      <c r="B55" s="0" t="n">
        <v>3276</v>
      </c>
      <c r="C55" s="0" t="n">
        <v>620</v>
      </c>
      <c r="D55" s="0" t="n">
        <v>614</v>
      </c>
      <c r="G55" s="0" t="n">
        <v>3872</v>
      </c>
      <c r="H55" s="0" t="n">
        <v>238</v>
      </c>
      <c r="I55" s="0" t="n">
        <v>1160</v>
      </c>
      <c r="J55" s="0" t="n">
        <f aca="false">INT(SQRT((G55-G56)*(G55-G56)+(H55-H56)*(H55-H56)) +0.5)</f>
        <v>160</v>
      </c>
    </row>
    <row r="56" customFormat="false" ht="13.8" hidden="false" customHeight="false" outlineLevel="0" collapsed="false">
      <c r="A56" s="0" t="n">
        <v>53</v>
      </c>
      <c r="B56" s="0" t="n">
        <v>473</v>
      </c>
      <c r="C56" s="0" t="n">
        <v>970</v>
      </c>
      <c r="D56" s="0" t="n">
        <v>835</v>
      </c>
      <c r="G56" s="0" t="n">
        <v>3896</v>
      </c>
      <c r="H56" s="0" t="n">
        <v>396</v>
      </c>
      <c r="I56" s="0" t="n">
        <v>872</v>
      </c>
      <c r="J56" s="0" t="n">
        <f aca="false">INT(SQRT((G56-G57)*(G56-G57)+(H56-H57)*(H56-H57)) +0.5)</f>
        <v>15</v>
      </c>
    </row>
    <row r="57" customFormat="false" ht="13.8" hidden="false" customHeight="false" outlineLevel="0" collapsed="false">
      <c r="A57" s="0" t="n">
        <v>54</v>
      </c>
      <c r="B57" s="0" t="n">
        <v>3051</v>
      </c>
      <c r="C57" s="0" t="n">
        <v>1089</v>
      </c>
      <c r="D57" s="0" t="n">
        <v>5</v>
      </c>
      <c r="G57" s="0" t="n">
        <v>3889</v>
      </c>
      <c r="H57" s="0" t="n">
        <v>409</v>
      </c>
      <c r="I57" s="0" t="n">
        <v>889</v>
      </c>
      <c r="J57" s="0" t="n">
        <f aca="false">INT(SQRT((G57-G58)*(G57-G58)+(H57-H58)*(H57-H58)) +0.5)</f>
        <v>97</v>
      </c>
    </row>
    <row r="58" customFormat="false" ht="13.8" hidden="false" customHeight="false" outlineLevel="0" collapsed="false">
      <c r="A58" s="0" t="n">
        <v>55</v>
      </c>
      <c r="B58" s="0" t="n">
        <v>570</v>
      </c>
      <c r="C58" s="0" t="n">
        <v>1060</v>
      </c>
      <c r="D58" s="0" t="n">
        <v>837</v>
      </c>
      <c r="G58" s="0" t="n">
        <v>3878</v>
      </c>
      <c r="H58" s="0" t="n">
        <v>505</v>
      </c>
      <c r="I58" s="0" t="n">
        <v>291</v>
      </c>
      <c r="J58" s="0" t="n">
        <f aca="false">INT(SQRT((G58-G59)*(G58-G59)+(H58-H59)*(H58-H59)) +0.5)</f>
        <v>198</v>
      </c>
    </row>
    <row r="59" customFormat="false" ht="13.8" hidden="false" customHeight="false" outlineLevel="0" collapsed="false">
      <c r="A59" s="0" t="n">
        <v>56</v>
      </c>
      <c r="B59" s="0" t="n">
        <v>3799</v>
      </c>
      <c r="C59" s="0" t="n">
        <v>715</v>
      </c>
      <c r="D59" s="0" t="n">
        <v>617</v>
      </c>
      <c r="G59" s="0" t="n">
        <v>3690</v>
      </c>
      <c r="H59" s="0" t="n">
        <v>566</v>
      </c>
      <c r="I59" s="0" t="n">
        <v>386</v>
      </c>
      <c r="J59" s="0" t="n">
        <f aca="false">INT(SQRT((G59-G60)*(G59-G60)+(H59-H60)*(H59-H60)) +0.5)</f>
        <v>433</v>
      </c>
    </row>
    <row r="60" customFormat="false" ht="13.8" hidden="false" customHeight="false" outlineLevel="0" collapsed="false">
      <c r="A60" s="0" t="n">
        <v>57</v>
      </c>
      <c r="B60" s="0" t="n">
        <v>2500</v>
      </c>
      <c r="C60" s="0" t="n">
        <v>1667</v>
      </c>
      <c r="D60" s="0" t="n">
        <v>107</v>
      </c>
      <c r="G60" s="0" t="n">
        <v>3770</v>
      </c>
      <c r="H60" s="0" t="n">
        <v>992</v>
      </c>
      <c r="I60" s="0" t="n">
        <v>291</v>
      </c>
      <c r="J60" s="0" t="n">
        <f aca="false">INT(SQRT((G60-G61)*(G60-G61)+(H60-H61)*(H60-H61)) +0.5)</f>
        <v>394</v>
      </c>
    </row>
    <row r="61" customFormat="false" ht="13.8" hidden="false" customHeight="false" outlineLevel="0" collapsed="false">
      <c r="A61" s="0" t="n">
        <v>58</v>
      </c>
      <c r="B61" s="0" t="n">
        <v>1563</v>
      </c>
      <c r="C61" s="0" t="n">
        <v>1998</v>
      </c>
      <c r="D61" s="0" t="n">
        <v>560</v>
      </c>
      <c r="G61" s="0" t="n">
        <v>3388</v>
      </c>
      <c r="H61" s="0" t="n">
        <v>894</v>
      </c>
      <c r="I61" s="0" t="n">
        <v>138</v>
      </c>
      <c r="J61" s="0" t="n">
        <f aca="false">INT(SQRT((G61-G62)*(G61-G62)+(H61-H62)*(H61-H62)) +0.5)</f>
        <v>224</v>
      </c>
    </row>
    <row r="62" customFormat="false" ht="13.8" hidden="false" customHeight="false" outlineLevel="0" collapsed="false">
      <c r="A62" s="0" t="n">
        <v>59</v>
      </c>
      <c r="B62" s="0" t="n">
        <v>1807</v>
      </c>
      <c r="C62" s="0" t="n">
        <v>455</v>
      </c>
      <c r="D62" s="0" t="n">
        <v>188</v>
      </c>
      <c r="G62" s="0" t="n">
        <v>3424</v>
      </c>
      <c r="H62" s="0" t="n">
        <v>1115</v>
      </c>
      <c r="I62" s="0" t="n">
        <v>186</v>
      </c>
      <c r="J62" s="0" t="n">
        <f aca="false">INT(SQRT((G62-G63)*(G62-G63)+(H62-H63)*(H62-H63)) +0.5)</f>
        <v>65</v>
      </c>
    </row>
    <row r="63" customFormat="false" ht="13.8" hidden="false" customHeight="false" outlineLevel="0" collapsed="false">
      <c r="A63" s="0" t="n">
        <v>60</v>
      </c>
      <c r="B63" s="0" t="n">
        <v>1081</v>
      </c>
      <c r="C63" s="0" t="n">
        <v>410</v>
      </c>
      <c r="D63" s="0" t="n">
        <v>158</v>
      </c>
      <c r="G63" s="0" t="n">
        <v>3363</v>
      </c>
      <c r="H63" s="0" t="n">
        <v>1136</v>
      </c>
      <c r="I63" s="0" t="n">
        <v>327</v>
      </c>
      <c r="J63" s="0" t="n">
        <f aca="false">INT(SQRT((G63-G64)*(G63-G64)+(H63-H64)*(H63-H64)) +0.5)</f>
        <v>123</v>
      </c>
    </row>
    <row r="64" customFormat="false" ht="13.8" hidden="false" customHeight="false" outlineLevel="0" collapsed="false">
      <c r="A64" s="0" t="n">
        <v>61</v>
      </c>
      <c r="B64" s="0" t="n">
        <v>3819</v>
      </c>
      <c r="C64" s="0" t="n">
        <v>1658</v>
      </c>
      <c r="D64" s="0" t="n">
        <v>522</v>
      </c>
      <c r="G64" s="0" t="n">
        <v>3419</v>
      </c>
      <c r="H64" s="0" t="n">
        <v>1246</v>
      </c>
      <c r="I64" s="0" t="n">
        <v>998</v>
      </c>
      <c r="J64" s="0" t="n">
        <f aca="false">INT(SQRT((G64-G65)*(G64-G65)+(H64-H65)*(H64-H65)) +0.5)</f>
        <v>60</v>
      </c>
    </row>
    <row r="65" customFormat="false" ht="13.8" hidden="false" customHeight="false" outlineLevel="0" collapsed="false">
      <c r="A65" s="0" t="n">
        <v>62</v>
      </c>
      <c r="B65" s="0" t="n">
        <v>699</v>
      </c>
      <c r="C65" s="0" t="n">
        <v>85</v>
      </c>
      <c r="D65" s="0" t="n">
        <v>548</v>
      </c>
      <c r="G65" s="0" t="n">
        <v>3409</v>
      </c>
      <c r="H65" s="0" t="n">
        <v>1305</v>
      </c>
      <c r="I65" s="0" t="n">
        <v>225</v>
      </c>
      <c r="J65" s="0" t="n">
        <f aca="false">INT(SQRT((G65-G66)*(G65-G66)+(H65-H66)*(H65-H66)) +0.5)</f>
        <v>390</v>
      </c>
    </row>
    <row r="66" customFormat="false" ht="13.8" hidden="false" customHeight="false" outlineLevel="0" collapsed="false">
      <c r="A66" s="0" t="n">
        <v>63</v>
      </c>
      <c r="B66" s="0" t="n">
        <v>1497</v>
      </c>
      <c r="C66" s="0" t="n">
        <v>1606</v>
      </c>
      <c r="D66" s="0" t="n">
        <v>659</v>
      </c>
      <c r="G66" s="0" t="n">
        <v>3341</v>
      </c>
      <c r="H66" s="0" t="n">
        <v>1689</v>
      </c>
      <c r="I66" s="0" t="n">
        <v>346</v>
      </c>
      <c r="J66" s="0" t="n">
        <f aca="false">INT(SQRT((G66-G67)*(G66-G67)+(H66-H67)*(H66-H67)) +0.5)</f>
        <v>265</v>
      </c>
    </row>
    <row r="67" customFormat="false" ht="13.8" hidden="false" customHeight="false" outlineLevel="0" collapsed="false">
      <c r="A67" s="0" t="n">
        <v>64</v>
      </c>
      <c r="B67" s="0" t="n">
        <v>1367</v>
      </c>
      <c r="C67" s="0" t="n">
        <v>816</v>
      </c>
      <c r="D67" s="0" t="n">
        <v>329</v>
      </c>
      <c r="G67" s="0" t="n">
        <v>3605</v>
      </c>
      <c r="H67" s="0" t="n">
        <v>1717</v>
      </c>
      <c r="I67" s="0" t="n">
        <v>844</v>
      </c>
      <c r="J67" s="0" t="n">
        <f aca="false">INT(SQRT((G67-G68)*(G67-G68)+(H67-H68)*(H67-H68)) +0.5)</f>
        <v>223</v>
      </c>
    </row>
    <row r="68" customFormat="false" ht="13.8" hidden="false" customHeight="false" outlineLevel="0" collapsed="false">
      <c r="A68" s="0" t="n">
        <v>65</v>
      </c>
      <c r="B68" s="0" t="n">
        <v>68</v>
      </c>
      <c r="C68" s="0" t="n">
        <v>1048</v>
      </c>
      <c r="D68" s="0" t="n">
        <v>137</v>
      </c>
      <c r="G68" s="0" t="n">
        <v>3766</v>
      </c>
      <c r="H68" s="0" t="n">
        <v>1871</v>
      </c>
      <c r="I68" s="0" t="n">
        <v>887</v>
      </c>
      <c r="J68" s="0" t="n">
        <f aca="false">INT(SQRT((G68-G69)*(G68-G69)+(H68-H69)*(H68-H69)) +0.5)</f>
        <v>288</v>
      </c>
    </row>
    <row r="69" customFormat="false" ht="13.8" hidden="false" customHeight="false" outlineLevel="0" collapsed="false">
      <c r="A69" s="0" t="n">
        <v>66</v>
      </c>
      <c r="B69" s="0" t="n">
        <v>2539</v>
      </c>
      <c r="C69" s="0" t="n">
        <v>701</v>
      </c>
      <c r="D69" s="0" t="n">
        <v>529</v>
      </c>
      <c r="G69" s="0" t="n">
        <v>3485</v>
      </c>
      <c r="H69" s="0" t="n">
        <v>1936</v>
      </c>
      <c r="I69" s="0" t="n">
        <v>494</v>
      </c>
      <c r="J69" s="0" t="n">
        <f aca="false">INT(SQRT((G69-G70)*(G69-G70)+(H69-H70)*(H69-H70)) +0.5)</f>
        <v>267</v>
      </c>
    </row>
    <row r="70" customFormat="false" ht="13.8" hidden="false" customHeight="false" outlineLevel="0" collapsed="false">
      <c r="A70" s="0" t="n">
        <v>67</v>
      </c>
      <c r="B70" s="0" t="n">
        <v>2509</v>
      </c>
      <c r="C70" s="0" t="n">
        <v>591</v>
      </c>
      <c r="D70" s="0" t="n">
        <v>206</v>
      </c>
      <c r="G70" s="0" t="n">
        <v>3218</v>
      </c>
      <c r="H70" s="0" t="n">
        <v>1949</v>
      </c>
      <c r="I70" s="0" t="n">
        <v>1049</v>
      </c>
      <c r="J70" s="0" t="n">
        <f aca="false">INT(SQRT((G70-G71)*(G70-G71)+(H70-H71)*(H70-H71)) +0.5)</f>
        <v>295</v>
      </c>
    </row>
    <row r="71" customFormat="false" ht="13.8" hidden="false" customHeight="false" outlineLevel="0" collapsed="false">
      <c r="A71" s="0" t="n">
        <v>68</v>
      </c>
      <c r="B71" s="0" t="n">
        <v>3862</v>
      </c>
      <c r="C71" s="0" t="n">
        <v>249</v>
      </c>
      <c r="D71" s="0" t="n">
        <v>869</v>
      </c>
      <c r="G71" s="0" t="n">
        <v>2931</v>
      </c>
      <c r="H71" s="0" t="n">
        <v>1880</v>
      </c>
      <c r="I71" s="0" t="n">
        <v>497</v>
      </c>
      <c r="J71" s="0" t="n">
        <f aca="false">INT(SQRT((G71-G72)*(G71-G72)+(H71-H72)*(H71-H72)) +0.5)</f>
        <v>218</v>
      </c>
    </row>
    <row r="72" customFormat="false" ht="13.8" hidden="false" customHeight="false" outlineLevel="0" collapsed="false">
      <c r="A72" s="0" t="n">
        <v>69</v>
      </c>
      <c r="B72" s="0" t="n">
        <v>1658</v>
      </c>
      <c r="C72" s="0" t="n">
        <v>1165</v>
      </c>
      <c r="D72" s="0" t="n">
        <v>29</v>
      </c>
      <c r="G72" s="0" t="n">
        <v>2780</v>
      </c>
      <c r="H72" s="0" t="n">
        <v>1723</v>
      </c>
      <c r="I72" s="0" t="n">
        <v>783</v>
      </c>
      <c r="J72" s="0" t="n">
        <f aca="false">INT(SQRT((G72-G73)*(G72-G73)+(H72-H73)*(H72-H73)) +0.5)</f>
        <v>405</v>
      </c>
    </row>
    <row r="73" customFormat="false" ht="13.8" hidden="false" customHeight="false" outlineLevel="0" collapsed="false">
      <c r="A73" s="0" t="n">
        <v>70</v>
      </c>
      <c r="B73" s="0" t="n">
        <v>3344</v>
      </c>
      <c r="C73" s="0" t="n">
        <v>1834</v>
      </c>
      <c r="D73" s="0" t="n">
        <v>345</v>
      </c>
      <c r="G73" s="0" t="n">
        <v>2985</v>
      </c>
      <c r="H73" s="0" t="n">
        <v>1374</v>
      </c>
      <c r="I73" s="0" t="n">
        <v>37</v>
      </c>
      <c r="J73" s="0" t="n">
        <f aca="false">INT(SQRT((G73-G74)*(G73-G74)+(H73-H74)*(H73-H74)) +0.5)</f>
        <v>213</v>
      </c>
    </row>
    <row r="74" customFormat="false" ht="13.8" hidden="false" customHeight="false" outlineLevel="0" collapsed="false">
      <c r="A74" s="0" t="n">
        <v>71</v>
      </c>
      <c r="B74" s="0" t="n">
        <v>956</v>
      </c>
      <c r="C74" s="0" t="n">
        <v>481</v>
      </c>
      <c r="D74" s="0" t="n">
        <v>250</v>
      </c>
      <c r="G74" s="0" t="n">
        <v>2973</v>
      </c>
      <c r="H74" s="0" t="n">
        <v>1161</v>
      </c>
      <c r="I74" s="0" t="n">
        <v>1029</v>
      </c>
      <c r="J74" s="0" t="n">
        <f aca="false">INT(SQRT((G74-G75)*(G74-G75)+(H74-H75)*(H74-H75)) +0.5)</f>
        <v>208</v>
      </c>
    </row>
    <row r="75" customFormat="false" ht="13.8" hidden="false" customHeight="false" outlineLevel="0" collapsed="false">
      <c r="A75" s="0" t="n">
        <v>72</v>
      </c>
      <c r="B75" s="0" t="n">
        <v>2019</v>
      </c>
      <c r="C75" s="0" t="n">
        <v>1471</v>
      </c>
      <c r="D75" s="0" t="n">
        <v>195</v>
      </c>
      <c r="G75" s="0" t="n">
        <v>2792</v>
      </c>
      <c r="H75" s="0" t="n">
        <v>1058</v>
      </c>
      <c r="I75" s="0" t="n">
        <v>873</v>
      </c>
      <c r="J75" s="0" t="n">
        <f aca="false">INT(SQRT((G75-G76)*(G75-G76)+(H75-H76)*(H75-H76)) +0.5)</f>
        <v>250</v>
      </c>
    </row>
    <row r="76" customFormat="false" ht="13.8" hidden="false" customHeight="false" outlineLevel="0" collapsed="false">
      <c r="A76" s="0" t="n">
        <v>73</v>
      </c>
      <c r="B76" s="0" t="n">
        <v>1884</v>
      </c>
      <c r="C76" s="0" t="n">
        <v>483</v>
      </c>
      <c r="D76" s="0" t="n">
        <v>457</v>
      </c>
      <c r="G76" s="0" t="n">
        <v>2552</v>
      </c>
      <c r="H76" s="0" t="n">
        <v>1127</v>
      </c>
      <c r="I76" s="0" t="n">
        <v>383</v>
      </c>
      <c r="J76" s="0" t="n">
        <f aca="false">INT(SQRT((G76-G77)*(G76-G77)+(H76-H77)*(H76-H77)) +0.5)</f>
        <v>37</v>
      </c>
    </row>
    <row r="77" customFormat="false" ht="13.8" hidden="false" customHeight="false" outlineLevel="0" collapsed="false">
      <c r="A77" s="0" t="n">
        <v>74</v>
      </c>
      <c r="B77" s="0" t="n">
        <v>3293</v>
      </c>
      <c r="C77" s="0" t="n">
        <v>234</v>
      </c>
      <c r="D77" s="0" t="n">
        <v>361</v>
      </c>
      <c r="G77" s="0" t="n">
        <v>2552</v>
      </c>
      <c r="H77" s="0" t="n">
        <v>1090</v>
      </c>
      <c r="I77" s="0" t="n">
        <v>583</v>
      </c>
      <c r="J77" s="0" t="n">
        <f aca="false">INT(SQRT((G77-G78)*(G77-G78)+(H77-H78)*(H77-H78)) +0.5)</f>
        <v>186</v>
      </c>
    </row>
    <row r="78" customFormat="false" ht="13.8" hidden="false" customHeight="false" outlineLevel="0" collapsed="false">
      <c r="A78" s="0" t="n">
        <v>75</v>
      </c>
      <c r="B78" s="0" t="n">
        <v>2307</v>
      </c>
      <c r="C78" s="0" t="n">
        <v>1190</v>
      </c>
      <c r="D78" s="0" t="n">
        <v>790</v>
      </c>
      <c r="G78" s="0" t="n">
        <v>2374</v>
      </c>
      <c r="H78" s="0" t="n">
        <v>1143</v>
      </c>
      <c r="I78" s="0" t="n">
        <v>248</v>
      </c>
      <c r="J78" s="0" t="n">
        <f aca="false">INT(SQRT((G78-G79)*(G78-G79)+(H78-H79)*(H78-H79)) +0.5)</f>
        <v>291</v>
      </c>
    </row>
    <row r="79" customFormat="false" ht="13.8" hidden="false" customHeight="false" outlineLevel="0" collapsed="false">
      <c r="A79" s="0" t="n">
        <v>76</v>
      </c>
      <c r="B79" s="0" t="n">
        <v>2524</v>
      </c>
      <c r="C79" s="0" t="n">
        <v>1187</v>
      </c>
      <c r="D79" s="0" t="n">
        <v>99</v>
      </c>
      <c r="G79" s="0" t="n">
        <v>2389</v>
      </c>
      <c r="H79" s="0" t="n">
        <v>852</v>
      </c>
      <c r="I79" s="0" t="n">
        <v>636</v>
      </c>
      <c r="J79" s="0" t="n">
        <f aca="false">INT(SQRT((G79-G80)*(G79-G80)+(H79-H80)*(H79-H80)) +0.5)</f>
        <v>126</v>
      </c>
    </row>
    <row r="80" customFormat="false" ht="13.8" hidden="false" customHeight="false" outlineLevel="0" collapsed="false">
      <c r="A80" s="0" t="n">
        <v>77</v>
      </c>
      <c r="B80" s="0" t="n">
        <v>2813</v>
      </c>
      <c r="C80" s="0" t="n">
        <v>1604</v>
      </c>
      <c r="D80" s="0" t="n">
        <v>788</v>
      </c>
      <c r="G80" s="0" t="n">
        <v>2271</v>
      </c>
      <c r="H80" s="0" t="n">
        <v>897</v>
      </c>
      <c r="I80" s="0" t="n">
        <v>98</v>
      </c>
      <c r="J80" s="0" t="n">
        <f aca="false">INT(SQRT((G80-G81)*(G80-G81)+(H80-H81)*(H80-H81)) +0.5)</f>
        <v>92</v>
      </c>
    </row>
    <row r="81" customFormat="false" ht="13.8" hidden="false" customHeight="false" outlineLevel="0" collapsed="false">
      <c r="A81" s="0" t="n">
        <v>78</v>
      </c>
      <c r="B81" s="0" t="n">
        <v>3371</v>
      </c>
      <c r="C81" s="0" t="n">
        <v>1148</v>
      </c>
      <c r="D81" s="0" t="n">
        <v>603</v>
      </c>
      <c r="G81" s="0" t="n">
        <v>2180</v>
      </c>
      <c r="H81" s="0" t="n">
        <v>887</v>
      </c>
      <c r="I81" s="0" t="n">
        <v>53</v>
      </c>
      <c r="J81" s="0" t="n">
        <f aca="false">INT(SQRT((G81-G82)*(G81-G82)+(H81-H82)*(H81-H82)) +0.5)</f>
        <v>157</v>
      </c>
    </row>
    <row r="82" customFormat="false" ht="13.8" hidden="false" customHeight="false" outlineLevel="0" collapsed="false">
      <c r="A82" s="0" t="n">
        <v>79</v>
      </c>
      <c r="B82" s="0" t="n">
        <v>2421</v>
      </c>
      <c r="C82" s="0" t="n">
        <v>1479</v>
      </c>
      <c r="D82" s="0" t="n">
        <v>711</v>
      </c>
      <c r="G82" s="0" t="n">
        <v>2068</v>
      </c>
      <c r="H82" s="0" t="n">
        <v>997</v>
      </c>
      <c r="I82" s="0" t="n">
        <v>570</v>
      </c>
      <c r="J82" s="0" t="n">
        <f aca="false">INT(SQRT((G82-G83)*(G82-G83)+(H82-H83)*(H82-H83)) +0.5)</f>
        <v>120</v>
      </c>
    </row>
    <row r="83" customFormat="false" ht="13.8" hidden="false" customHeight="false" outlineLevel="0" collapsed="false">
      <c r="A83" s="0" t="n">
        <v>80</v>
      </c>
      <c r="B83" s="0" t="n">
        <v>3178</v>
      </c>
      <c r="C83" s="0" t="n">
        <v>697</v>
      </c>
      <c r="D83" s="0" t="n">
        <v>311</v>
      </c>
      <c r="G83" s="0" t="n">
        <v>2071</v>
      </c>
      <c r="H83" s="0" t="n">
        <v>877</v>
      </c>
      <c r="I83" s="0" t="n">
        <v>723</v>
      </c>
      <c r="J83" s="0" t="n">
        <f aca="false">INT(SQRT((G83-G84)*(G83-G84)+(H83-H84)*(H83-H84)) +0.5)</f>
        <v>90</v>
      </c>
    </row>
    <row r="84" customFormat="false" ht="13.8" hidden="false" customHeight="false" outlineLevel="0" collapsed="false">
      <c r="A84" s="0" t="n">
        <v>81</v>
      </c>
      <c r="B84" s="0" t="n">
        <v>3802</v>
      </c>
      <c r="C84" s="0" t="n">
        <v>1939</v>
      </c>
      <c r="D84" s="0" t="n">
        <v>447</v>
      </c>
      <c r="G84" s="0" t="n">
        <v>2025</v>
      </c>
      <c r="H84" s="0" t="n">
        <v>800</v>
      </c>
      <c r="I84" s="0" t="n">
        <v>403</v>
      </c>
      <c r="J84" s="0" t="n">
        <f aca="false">INT(SQRT((G84-G85)*(G84-G85)+(H84-H85)*(H84-H85)) +0.5)</f>
        <v>85</v>
      </c>
    </row>
    <row r="85" customFormat="false" ht="13.8" hidden="false" customHeight="false" outlineLevel="0" collapsed="false">
      <c r="A85" s="0" t="n">
        <v>82</v>
      </c>
      <c r="B85" s="0" t="n">
        <v>2106</v>
      </c>
      <c r="C85" s="0" t="n">
        <v>77</v>
      </c>
      <c r="D85" s="0" t="n">
        <v>372</v>
      </c>
      <c r="G85" s="0" t="n">
        <v>2005</v>
      </c>
      <c r="H85" s="0" t="n">
        <v>717</v>
      </c>
      <c r="I85" s="0" t="n">
        <v>598</v>
      </c>
      <c r="J85" s="0" t="n">
        <f aca="false">INT(SQRT((G85-G86)*(G85-G86)+(H85-H86)*(H85-H86)) +0.5)</f>
        <v>207</v>
      </c>
    </row>
    <row r="86" customFormat="false" ht="13.8" hidden="false" customHeight="false" outlineLevel="0" collapsed="false">
      <c r="A86" s="0" t="n">
        <v>83</v>
      </c>
      <c r="B86" s="0" t="n">
        <v>2395</v>
      </c>
      <c r="C86" s="0" t="n">
        <v>1741</v>
      </c>
      <c r="D86" s="0" t="n">
        <v>944</v>
      </c>
      <c r="G86" s="0" t="n">
        <v>1926</v>
      </c>
      <c r="H86" s="0" t="n">
        <v>908</v>
      </c>
      <c r="I86" s="0" t="n">
        <v>335</v>
      </c>
      <c r="J86" s="0" t="n">
        <f aca="false">INT(SQRT((G86-G87)*(G86-G87)+(H86-H87)*(H86-H87)) +0.5)</f>
        <v>95</v>
      </c>
    </row>
    <row r="87" customFormat="false" ht="13.8" hidden="false" customHeight="false" outlineLevel="0" collapsed="false">
      <c r="A87" s="0" t="n">
        <v>84</v>
      </c>
      <c r="B87" s="0" t="n">
        <v>2680</v>
      </c>
      <c r="C87" s="0" t="n">
        <v>689</v>
      </c>
      <c r="D87" s="0" t="n">
        <v>656</v>
      </c>
      <c r="G87" s="0" t="n">
        <v>1835</v>
      </c>
      <c r="H87" s="0" t="n">
        <v>936</v>
      </c>
      <c r="I87" s="0" t="n">
        <v>29</v>
      </c>
      <c r="J87" s="0" t="n">
        <f aca="false">INT(SQRT((G87-G88)*(G87-G88)+(H87-H88)*(H87-H88)) +0.5)</f>
        <v>300</v>
      </c>
    </row>
    <row r="88" customFormat="false" ht="13.8" hidden="false" customHeight="false" outlineLevel="0" collapsed="false">
      <c r="A88" s="0" t="n">
        <v>85</v>
      </c>
      <c r="B88" s="0" t="n">
        <v>1791</v>
      </c>
      <c r="C88" s="0" t="n">
        <v>338</v>
      </c>
      <c r="D88" s="0" t="n">
        <v>99</v>
      </c>
      <c r="G88" s="0" t="n">
        <v>1681</v>
      </c>
      <c r="H88" s="0" t="n">
        <v>1194</v>
      </c>
      <c r="I88" s="0" t="n">
        <v>416</v>
      </c>
      <c r="J88" s="0" t="n">
        <f aca="false">INT(SQRT((G88-G89)*(G88-G89)+(H88-H89)*(H88-H89)) +0.5)</f>
        <v>35</v>
      </c>
    </row>
    <row r="89" customFormat="false" ht="13.8" hidden="false" customHeight="false" outlineLevel="0" collapsed="false">
      <c r="A89" s="0" t="n">
        <v>86</v>
      </c>
      <c r="B89" s="0" t="n">
        <v>2153</v>
      </c>
      <c r="C89" s="0" t="n">
        <v>1403</v>
      </c>
      <c r="D89" s="0" t="n">
        <v>533</v>
      </c>
      <c r="G89" s="0" t="n">
        <v>1655</v>
      </c>
      <c r="H89" s="0" t="n">
        <v>1218</v>
      </c>
      <c r="I89" s="0" t="n">
        <v>196</v>
      </c>
      <c r="J89" s="0" t="n">
        <f aca="false">INT(SQRT((G89-G90)*(G89-G90)+(H89-H90)*(H89-H90)) +0.5)</f>
        <v>262</v>
      </c>
    </row>
    <row r="90" customFormat="false" ht="13.8" hidden="false" customHeight="false" outlineLevel="0" collapsed="false">
      <c r="A90" s="0" t="n">
        <v>87</v>
      </c>
      <c r="B90" s="0" t="n">
        <v>2143</v>
      </c>
      <c r="C90" s="0" t="n">
        <v>102</v>
      </c>
      <c r="D90" s="0" t="n">
        <v>99</v>
      </c>
      <c r="G90" s="0" t="n">
        <v>1583</v>
      </c>
      <c r="H90" s="0" t="n">
        <v>966</v>
      </c>
      <c r="I90" s="0" t="n">
        <v>382</v>
      </c>
      <c r="J90" s="0" t="n">
        <f aca="false">INT(SQRT((G90-G91)*(G90-G91)+(H90-H91)*(H90-H91)) +0.5)</f>
        <v>170</v>
      </c>
    </row>
    <row r="91" customFormat="false" ht="13.8" hidden="false" customHeight="false" outlineLevel="0" collapsed="false">
      <c r="A91" s="0" t="n">
        <v>88</v>
      </c>
      <c r="B91" s="0" t="n">
        <v>2353</v>
      </c>
      <c r="C91" s="0" t="n">
        <v>151</v>
      </c>
      <c r="D91" s="0" t="n">
        <v>481</v>
      </c>
      <c r="G91" s="0" t="n">
        <v>1654</v>
      </c>
      <c r="H91" s="0" t="n">
        <v>811</v>
      </c>
      <c r="I91" s="0" t="n">
        <v>675</v>
      </c>
      <c r="J91" s="0" t="n">
        <f aca="false">INT(SQRT((G91-G92)*(G91-G92)+(H91-H92)*(H91-H92)) +0.5)</f>
        <v>132</v>
      </c>
    </row>
    <row r="92" customFormat="false" ht="13.8" hidden="false" customHeight="false" outlineLevel="0" collapsed="false">
      <c r="A92" s="0" t="n">
        <v>89</v>
      </c>
      <c r="B92" s="0" t="n">
        <v>2193</v>
      </c>
      <c r="C92" s="0" t="n">
        <v>1860</v>
      </c>
      <c r="D92" s="0" t="n">
        <v>14</v>
      </c>
      <c r="G92" s="0" t="n">
        <v>1531</v>
      </c>
      <c r="H92" s="0" t="n">
        <v>764</v>
      </c>
      <c r="I92" s="0" t="n">
        <v>1003</v>
      </c>
      <c r="J92" s="0" t="n">
        <f aca="false">INT(SQRT((G92-G93)*(G92-G93)+(H92-H93)*(H92-H93)) +0.5)</f>
        <v>120</v>
      </c>
    </row>
    <row r="93" customFormat="false" ht="13.8" hidden="false" customHeight="false" outlineLevel="0" collapsed="false">
      <c r="A93" s="0" t="n">
        <v>90</v>
      </c>
      <c r="B93" s="0" t="n">
        <v>3394</v>
      </c>
      <c r="C93" s="0" t="n">
        <v>683</v>
      </c>
      <c r="D93" s="0" t="n">
        <v>75</v>
      </c>
      <c r="G93" s="0" t="n">
        <v>1415</v>
      </c>
      <c r="H93" s="0" t="n">
        <v>796</v>
      </c>
      <c r="I93" s="0" t="n">
        <v>741</v>
      </c>
      <c r="J93" s="0" t="n">
        <f aca="false">INT(SQRT((G93-G94)*(G93-G94)+(H93-H94)*(H93-H94)) +0.5)</f>
        <v>138</v>
      </c>
    </row>
    <row r="94" customFormat="false" ht="13.8" hidden="false" customHeight="false" outlineLevel="0" collapsed="false">
      <c r="A94" s="0" t="n">
        <v>91</v>
      </c>
      <c r="B94" s="0" t="n">
        <v>652</v>
      </c>
      <c r="C94" s="0" t="n">
        <v>243</v>
      </c>
      <c r="D94" s="0" t="n">
        <v>789</v>
      </c>
      <c r="G94" s="0" t="n">
        <v>1293</v>
      </c>
      <c r="H94" s="0" t="n">
        <v>860</v>
      </c>
      <c r="I94" s="0" t="n">
        <v>0</v>
      </c>
      <c r="J94" s="0" t="n">
        <f aca="false">INT(SQRT((G94-G95)*(G94-G95)+(H94-H95)*(H94-H95)) +0.5)</f>
        <v>447</v>
      </c>
    </row>
    <row r="95" customFormat="false" ht="13.8" hidden="false" customHeight="false" outlineLevel="0" collapsed="false">
      <c r="A95" s="0" t="n">
        <v>92</v>
      </c>
      <c r="B95" s="0" t="n">
        <v>1843</v>
      </c>
      <c r="C95" s="0" t="n">
        <v>1467</v>
      </c>
      <c r="D95" s="0" t="n">
        <v>841</v>
      </c>
      <c r="G95" s="0" t="n">
        <v>1043</v>
      </c>
      <c r="H95" s="0" t="n">
        <v>1231</v>
      </c>
      <c r="I95" s="0" t="n">
        <v>71</v>
      </c>
      <c r="J95" s="0" t="n">
        <f aca="false">INT(SQRT((G95-G96)*(G95-G96)+(H95-H96)*(H95-H96)) +0.5)</f>
        <v>104</v>
      </c>
    </row>
    <row r="96" customFormat="false" ht="13.8" hidden="false" customHeight="false" outlineLevel="0" collapsed="false">
      <c r="A96" s="0" t="n">
        <v>93</v>
      </c>
      <c r="B96" s="0" t="n">
        <v>3770</v>
      </c>
      <c r="C96" s="0" t="n">
        <v>26</v>
      </c>
      <c r="D96" s="0" t="n">
        <v>715</v>
      </c>
      <c r="G96" s="0" t="n">
        <v>1111</v>
      </c>
      <c r="H96" s="0" t="n">
        <v>1310</v>
      </c>
      <c r="I96" s="0" t="n">
        <v>426</v>
      </c>
      <c r="J96" s="0" t="n">
        <f aca="false">INT(SQRT((G96-G97)*(G96-G97)+(H96-H97)*(H96-H97)) +0.5)</f>
        <v>176</v>
      </c>
    </row>
    <row r="97" customFormat="false" ht="13.8" hidden="false" customHeight="false" outlineLevel="0" collapsed="false">
      <c r="A97" s="0" t="n">
        <v>94</v>
      </c>
      <c r="B97" s="0" t="n">
        <v>3835</v>
      </c>
      <c r="C97" s="0" t="n">
        <v>1965</v>
      </c>
      <c r="D97" s="0" t="n">
        <v>291</v>
      </c>
      <c r="G97" s="0" t="n">
        <v>1234</v>
      </c>
      <c r="H97" s="0" t="n">
        <v>1436</v>
      </c>
      <c r="I97" s="0" t="n">
        <v>864</v>
      </c>
      <c r="J97" s="0" t="n">
        <f aca="false">INT(SQRT((G97-G98)*(G97-G98)+(H97-H98)*(H97-H98)) +0.5)</f>
        <v>219</v>
      </c>
    </row>
    <row r="98" customFormat="false" ht="13.8" hidden="false" customHeight="false" outlineLevel="0" collapsed="false">
      <c r="A98" s="0" t="n">
        <v>95</v>
      </c>
      <c r="B98" s="0" t="n">
        <v>1885</v>
      </c>
      <c r="C98" s="0" t="n">
        <v>1322</v>
      </c>
      <c r="D98" s="0" t="n">
        <v>896</v>
      </c>
      <c r="G98" s="0" t="n">
        <v>1159</v>
      </c>
      <c r="H98" s="0" t="n">
        <v>1642</v>
      </c>
      <c r="I98" s="0" t="n">
        <v>739</v>
      </c>
      <c r="J98" s="0" t="n">
        <f aca="false">INT(SQRT((G98-G99)*(G98-G99)+(H98-H99)*(H98-H99)) +0.5)</f>
        <v>94</v>
      </c>
    </row>
    <row r="99" customFormat="false" ht="13.8" hidden="false" customHeight="false" outlineLevel="0" collapsed="false">
      <c r="A99" s="0" t="n">
        <v>96</v>
      </c>
      <c r="B99" s="0" t="n">
        <v>1619</v>
      </c>
      <c r="C99" s="0" t="n">
        <v>1831</v>
      </c>
      <c r="D99" s="0" t="n">
        <v>43</v>
      </c>
      <c r="G99" s="0" t="n">
        <v>1145</v>
      </c>
      <c r="H99" s="0" t="n">
        <v>1735</v>
      </c>
      <c r="I99" s="0" t="n">
        <v>360</v>
      </c>
      <c r="J99" s="0" t="n">
        <f aca="false">INT(SQRT((G99-G100)*(G99-G100)+(H99-H100)*(H99-H100)) +0.5)</f>
        <v>273</v>
      </c>
    </row>
    <row r="100" customFormat="false" ht="13.8" hidden="false" customHeight="false" outlineLevel="0" collapsed="false">
      <c r="A100" s="0" t="n">
        <v>97</v>
      </c>
      <c r="B100" s="0" t="n">
        <v>912</v>
      </c>
      <c r="C100" s="0" t="n">
        <v>817</v>
      </c>
      <c r="D100" s="0" t="n">
        <v>448</v>
      </c>
      <c r="G100" s="0" t="n">
        <v>875</v>
      </c>
      <c r="H100" s="0" t="n">
        <v>1693</v>
      </c>
      <c r="I100" s="0" t="n">
        <v>582</v>
      </c>
      <c r="J100" s="0" t="n">
        <f aca="false">INT(SQRT((G100-G101)*(G100-G101)+(H100-H101)*(H100-H101)) +0.5)</f>
        <v>277</v>
      </c>
    </row>
    <row r="101" customFormat="false" ht="13.8" hidden="false" customHeight="false" outlineLevel="0" collapsed="false">
      <c r="A101" s="0" t="n">
        <v>98</v>
      </c>
      <c r="B101" s="0" t="n">
        <v>2005</v>
      </c>
      <c r="C101" s="0" t="n">
        <v>797</v>
      </c>
      <c r="D101" s="0" t="n">
        <v>566</v>
      </c>
      <c r="G101" s="0" t="n">
        <v>610</v>
      </c>
      <c r="H101" s="0" t="n">
        <v>1612</v>
      </c>
      <c r="I101" s="0" t="n">
        <v>21</v>
      </c>
      <c r="J101" s="0" t="n">
        <f aca="false">INT(SQRT((G101-G102)*(G101-G102)+(H101-H102)*(H101-H102)) +0.5)</f>
        <v>476</v>
      </c>
    </row>
    <row r="102" customFormat="false" ht="13.8" hidden="false" customHeight="false" outlineLevel="0" collapsed="false">
      <c r="A102" s="0" t="n">
        <v>99</v>
      </c>
      <c r="B102" s="0" t="n">
        <v>2759</v>
      </c>
      <c r="C102" s="0" t="n">
        <v>142</v>
      </c>
      <c r="D102" s="0" t="n">
        <v>343</v>
      </c>
      <c r="G102" s="0" t="n">
        <v>250</v>
      </c>
      <c r="H102" s="0" t="n">
        <v>1923</v>
      </c>
      <c r="I102" s="0" t="n">
        <v>219</v>
      </c>
      <c r="J102" s="0" t="n">
        <f aca="false">INT(SQRT((G102-G3)*(G102-G3)+(H102-H3)*(H102-H3)) +0.5)</f>
        <v>160</v>
      </c>
    </row>
    <row r="103" customFormat="false" ht="13.8" hidden="false" customHeight="false" outlineLevel="0" collapsed="false">
      <c r="A103" s="0" t="n">
        <v>100</v>
      </c>
      <c r="B103" s="0" t="n">
        <v>3902</v>
      </c>
      <c r="C103" s="0" t="n">
        <v>178</v>
      </c>
      <c r="D103" s="0" t="n">
        <v>986</v>
      </c>
    </row>
    <row r="104" customFormat="false" ht="13.8" hidden="false" customHeight="false" outlineLevel="0" collapsed="false">
      <c r="A104" s="0" t="n">
        <v>101</v>
      </c>
      <c r="B104" s="0" t="n">
        <v>1802</v>
      </c>
      <c r="C104" s="0" t="n">
        <v>357</v>
      </c>
      <c r="D104" s="0" t="n">
        <v>958</v>
      </c>
    </row>
    <row r="105" customFormat="false" ht="13.8" hidden="false" customHeight="false" outlineLevel="0" collapsed="false">
      <c r="A105" s="0" t="n">
        <v>102</v>
      </c>
      <c r="B105" s="0" t="n">
        <v>465</v>
      </c>
      <c r="C105" s="0" t="n">
        <v>733</v>
      </c>
      <c r="D105" s="0" t="n">
        <v>876</v>
      </c>
    </row>
    <row r="106" customFormat="false" ht="13.8" hidden="false" customHeight="false" outlineLevel="0" collapsed="false">
      <c r="A106" s="0" t="n">
        <v>103</v>
      </c>
      <c r="B106" s="0" t="n">
        <v>347</v>
      </c>
      <c r="C106" s="0" t="n">
        <v>652</v>
      </c>
      <c r="D106" s="0" t="n">
        <v>591</v>
      </c>
    </row>
    <row r="107" customFormat="false" ht="13.8" hidden="false" customHeight="false" outlineLevel="0" collapsed="false">
      <c r="A107" s="0" t="n">
        <v>104</v>
      </c>
      <c r="B107" s="0" t="n">
        <v>2797</v>
      </c>
      <c r="C107" s="0" t="n">
        <v>1382</v>
      </c>
      <c r="D107" s="0" t="n">
        <v>409</v>
      </c>
    </row>
    <row r="108" customFormat="false" ht="13.8" hidden="false" customHeight="false" outlineLevel="0" collapsed="false">
      <c r="A108" s="0" t="n">
        <v>105</v>
      </c>
      <c r="B108" s="0" t="n">
        <v>3889</v>
      </c>
      <c r="C108" s="0" t="n">
        <v>1940</v>
      </c>
      <c r="D108" s="0" t="n">
        <v>139</v>
      </c>
    </row>
    <row r="109" customFormat="false" ht="13.8" hidden="false" customHeight="false" outlineLevel="0" collapsed="false">
      <c r="A109" s="0" t="n">
        <v>106</v>
      </c>
      <c r="B109" s="0" t="n">
        <v>2953</v>
      </c>
      <c r="C109" s="0" t="n">
        <v>872</v>
      </c>
      <c r="D109" s="0" t="n">
        <v>914</v>
      </c>
    </row>
    <row r="110" customFormat="false" ht="13.8" hidden="false" customHeight="false" outlineLevel="0" collapsed="false">
      <c r="A110" s="0" t="n">
        <v>107</v>
      </c>
      <c r="B110" s="0" t="n">
        <v>1722</v>
      </c>
      <c r="C110" s="0" t="n">
        <v>379</v>
      </c>
      <c r="D110" s="0" t="n">
        <v>865</v>
      </c>
    </row>
    <row r="111" customFormat="false" ht="13.8" hidden="false" customHeight="false" outlineLevel="0" collapsed="false">
      <c r="A111" s="0" t="n">
        <v>108</v>
      </c>
      <c r="B111" s="0" t="n">
        <v>268</v>
      </c>
      <c r="C111" s="0" t="n">
        <v>158</v>
      </c>
      <c r="D111" s="0" t="n">
        <v>982</v>
      </c>
    </row>
    <row r="112" customFormat="false" ht="13.8" hidden="false" customHeight="false" outlineLevel="0" collapsed="false">
      <c r="A112" s="0" t="n">
        <v>109</v>
      </c>
      <c r="B112" s="0" t="n">
        <v>1977</v>
      </c>
      <c r="C112" s="0" t="n">
        <v>1265</v>
      </c>
      <c r="D112" s="0" t="n">
        <v>913</v>
      </c>
    </row>
    <row r="113" customFormat="false" ht="13.8" hidden="false" customHeight="false" outlineLevel="0" collapsed="false">
      <c r="A113" s="0" t="n">
        <v>110</v>
      </c>
      <c r="B113" s="0" t="n">
        <v>3952</v>
      </c>
      <c r="C113" s="0" t="n">
        <v>198</v>
      </c>
      <c r="D113" s="0" t="n">
        <v>16</v>
      </c>
    </row>
    <row r="114" customFormat="false" ht="13.8" hidden="false" customHeight="false" outlineLevel="0" collapsed="false">
      <c r="A114" s="0" t="n">
        <v>111</v>
      </c>
      <c r="B114" s="0" t="n">
        <v>2073</v>
      </c>
      <c r="C114" s="0" t="n">
        <v>915</v>
      </c>
      <c r="D114" s="0" t="n">
        <v>712</v>
      </c>
    </row>
    <row r="115" customFormat="false" ht="13.8" hidden="false" customHeight="false" outlineLevel="0" collapsed="false">
      <c r="A115" s="0" t="n">
        <v>112</v>
      </c>
      <c r="B115" s="0" t="n">
        <v>3960</v>
      </c>
      <c r="C115" s="0" t="n">
        <v>138</v>
      </c>
      <c r="D115" s="0" t="n">
        <v>968</v>
      </c>
    </row>
    <row r="116" customFormat="false" ht="13.8" hidden="false" customHeight="false" outlineLevel="0" collapsed="false">
      <c r="A116" s="0" t="n">
        <v>113</v>
      </c>
      <c r="B116" s="0" t="n">
        <v>723</v>
      </c>
      <c r="C116" s="0" t="n">
        <v>511</v>
      </c>
      <c r="D116" s="0" t="n">
        <v>841</v>
      </c>
    </row>
    <row r="117" customFormat="false" ht="13.8" hidden="false" customHeight="false" outlineLevel="0" collapsed="false">
      <c r="A117" s="0" t="n">
        <v>114</v>
      </c>
      <c r="B117" s="0" t="n">
        <v>3614</v>
      </c>
      <c r="C117" s="0" t="n">
        <v>1351</v>
      </c>
      <c r="D117" s="0" t="n">
        <v>99</v>
      </c>
    </row>
    <row r="118" customFormat="false" ht="13.8" hidden="false" customHeight="false" outlineLevel="0" collapsed="false">
      <c r="A118" s="0" t="n">
        <v>115</v>
      </c>
      <c r="B118" s="0" t="n">
        <v>707</v>
      </c>
      <c r="C118" s="0" t="n">
        <v>710</v>
      </c>
      <c r="D118" s="0" t="n">
        <v>470</v>
      </c>
    </row>
    <row r="119" customFormat="false" ht="13.8" hidden="false" customHeight="false" outlineLevel="0" collapsed="false">
      <c r="A119" s="0" t="n">
        <v>116</v>
      </c>
      <c r="B119" s="0" t="n">
        <v>685</v>
      </c>
      <c r="C119" s="0" t="n">
        <v>1979</v>
      </c>
      <c r="D119" s="0" t="n">
        <v>92</v>
      </c>
    </row>
    <row r="120" customFormat="false" ht="13.8" hidden="false" customHeight="false" outlineLevel="0" collapsed="false">
      <c r="A120" s="0" t="n">
        <v>117</v>
      </c>
      <c r="B120" s="0" t="n">
        <v>1820</v>
      </c>
      <c r="C120" s="0" t="n">
        <v>1322</v>
      </c>
      <c r="D120" s="0" t="n">
        <v>475</v>
      </c>
    </row>
    <row r="121" customFormat="false" ht="13.8" hidden="false" customHeight="false" outlineLevel="0" collapsed="false">
      <c r="A121" s="0" t="n">
        <v>118</v>
      </c>
      <c r="B121" s="0" t="n">
        <v>3788</v>
      </c>
      <c r="C121" s="0" t="n">
        <v>537</v>
      </c>
      <c r="D121" s="0" t="n">
        <v>466</v>
      </c>
    </row>
    <row r="122" customFormat="false" ht="13.8" hidden="false" customHeight="false" outlineLevel="0" collapsed="false">
      <c r="A122" s="0" t="n">
        <v>119</v>
      </c>
      <c r="B122" s="0" t="n">
        <v>2616</v>
      </c>
      <c r="C122" s="0" t="n">
        <v>648</v>
      </c>
      <c r="D122" s="0" t="n">
        <v>845</v>
      </c>
    </row>
    <row r="123" customFormat="false" ht="13.8" hidden="false" customHeight="false" outlineLevel="0" collapsed="false">
      <c r="A123" s="0" t="n">
        <v>120</v>
      </c>
      <c r="B123" s="0" t="n">
        <v>1728</v>
      </c>
      <c r="C123" s="0" t="n">
        <v>1500</v>
      </c>
      <c r="D123" s="0" t="n">
        <v>255</v>
      </c>
    </row>
    <row r="124" customFormat="false" ht="13.8" hidden="false" customHeight="false" outlineLevel="0" collapsed="false">
      <c r="A124" s="0" t="n">
        <v>121</v>
      </c>
      <c r="B124" s="0" t="n">
        <v>1439</v>
      </c>
      <c r="C124" s="0" t="n">
        <v>1808</v>
      </c>
      <c r="D124" s="0" t="n">
        <v>70</v>
      </c>
    </row>
    <row r="125" customFormat="false" ht="13.8" hidden="false" customHeight="false" outlineLevel="0" collapsed="false">
      <c r="A125" s="0" t="n">
        <v>122</v>
      </c>
      <c r="B125" s="0" t="n">
        <v>1905</v>
      </c>
      <c r="C125" s="0" t="n">
        <v>1060</v>
      </c>
      <c r="D125" s="0" t="n">
        <v>610</v>
      </c>
    </row>
    <row r="126" customFormat="false" ht="13.8" hidden="false" customHeight="false" outlineLevel="0" collapsed="false">
      <c r="A126" s="0" t="n">
        <v>123</v>
      </c>
      <c r="B126" s="0" t="n">
        <v>700</v>
      </c>
      <c r="C126" s="0" t="n">
        <v>1534</v>
      </c>
      <c r="D126" s="0" t="n">
        <v>910</v>
      </c>
    </row>
    <row r="127" customFormat="false" ht="13.8" hidden="false" customHeight="false" outlineLevel="0" collapsed="false">
      <c r="A127" s="0" t="n">
        <v>124</v>
      </c>
      <c r="B127" s="0" t="n">
        <v>1485</v>
      </c>
      <c r="C127" s="0" t="n">
        <v>998</v>
      </c>
      <c r="D127" s="0" t="n">
        <v>769</v>
      </c>
    </row>
    <row r="128" customFormat="false" ht="13.8" hidden="false" customHeight="false" outlineLevel="0" collapsed="false">
      <c r="A128" s="0" t="n">
        <v>125</v>
      </c>
      <c r="B128" s="0" t="n">
        <v>686</v>
      </c>
      <c r="C128" s="0" t="n">
        <v>961</v>
      </c>
      <c r="D128" s="0" t="n">
        <v>248</v>
      </c>
    </row>
    <row r="129" customFormat="false" ht="13.8" hidden="false" customHeight="false" outlineLevel="0" collapsed="false">
      <c r="A129" s="0" t="n">
        <v>126</v>
      </c>
      <c r="B129" s="0" t="n">
        <v>2238</v>
      </c>
      <c r="C129" s="0" t="n">
        <v>324</v>
      </c>
      <c r="D129" s="0" t="n">
        <v>873</v>
      </c>
    </row>
    <row r="130" customFormat="false" ht="13.8" hidden="false" customHeight="false" outlineLevel="0" collapsed="false">
      <c r="A130" s="0" t="n">
        <v>127</v>
      </c>
      <c r="B130" s="0" t="n">
        <v>3248</v>
      </c>
      <c r="C130" s="0" t="n">
        <v>766</v>
      </c>
      <c r="D130" s="0" t="n">
        <v>40</v>
      </c>
    </row>
    <row r="131" customFormat="false" ht="13.8" hidden="false" customHeight="false" outlineLevel="0" collapsed="false">
      <c r="A131" s="0" t="n">
        <v>128</v>
      </c>
      <c r="B131" s="0" t="n">
        <v>1802</v>
      </c>
      <c r="C131" s="0" t="n">
        <v>1102</v>
      </c>
      <c r="D131" s="0" t="n">
        <v>969</v>
      </c>
    </row>
    <row r="132" customFormat="false" ht="13.8" hidden="false" customHeight="false" outlineLevel="0" collapsed="false">
      <c r="A132" s="0" t="n">
        <v>129</v>
      </c>
      <c r="B132" s="0" t="n">
        <v>3314</v>
      </c>
      <c r="C132" s="0" t="n">
        <v>697</v>
      </c>
      <c r="D132" s="0" t="n">
        <v>84</v>
      </c>
    </row>
    <row r="133" customFormat="false" ht="13.8" hidden="false" customHeight="false" outlineLevel="0" collapsed="false">
      <c r="A133" s="0" t="n">
        <v>130</v>
      </c>
      <c r="B133" s="0" t="n">
        <v>1188</v>
      </c>
      <c r="C133" s="0" t="n">
        <v>1458</v>
      </c>
      <c r="D133" s="0" t="n">
        <v>406</v>
      </c>
    </row>
    <row r="134" customFormat="false" ht="13.8" hidden="false" customHeight="false" outlineLevel="0" collapsed="false">
      <c r="A134" s="0" t="n">
        <v>131</v>
      </c>
      <c r="B134" s="0" t="n">
        <v>3981</v>
      </c>
      <c r="C134" s="0" t="n">
        <v>706</v>
      </c>
      <c r="D134" s="0" t="n">
        <v>718</v>
      </c>
    </row>
    <row r="135" customFormat="false" ht="13.8" hidden="false" customHeight="false" outlineLevel="0" collapsed="false">
      <c r="A135" s="0" t="n">
        <v>132</v>
      </c>
      <c r="B135" s="0" t="n">
        <v>384</v>
      </c>
      <c r="C135" s="0" t="n">
        <v>505</v>
      </c>
      <c r="D135" s="0" t="n">
        <v>238</v>
      </c>
    </row>
    <row r="136" customFormat="false" ht="13.8" hidden="false" customHeight="false" outlineLevel="0" collapsed="false">
      <c r="A136" s="0" t="n">
        <v>133</v>
      </c>
      <c r="B136" s="0" t="n">
        <v>1646</v>
      </c>
      <c r="C136" s="0" t="n">
        <v>1376</v>
      </c>
      <c r="D136" s="0" t="n">
        <v>254</v>
      </c>
    </row>
    <row r="137" customFormat="false" ht="13.8" hidden="false" customHeight="false" outlineLevel="0" collapsed="false">
      <c r="A137" s="0" t="n">
        <v>134</v>
      </c>
      <c r="B137" s="0" t="n">
        <v>1054</v>
      </c>
      <c r="C137" s="0" t="n">
        <v>71</v>
      </c>
      <c r="D137" s="0" t="n">
        <v>79</v>
      </c>
    </row>
    <row r="138" customFormat="false" ht="13.8" hidden="false" customHeight="false" outlineLevel="0" collapsed="false">
      <c r="A138" s="0" t="n">
        <v>135</v>
      </c>
      <c r="B138" s="0" t="n">
        <v>2363</v>
      </c>
      <c r="C138" s="0" t="n">
        <v>1155</v>
      </c>
      <c r="D138" s="0" t="n">
        <v>608</v>
      </c>
    </row>
    <row r="139" customFormat="false" ht="13.8" hidden="false" customHeight="false" outlineLevel="0" collapsed="false">
      <c r="A139" s="0" t="n">
        <v>136</v>
      </c>
      <c r="B139" s="0" t="n">
        <v>1669</v>
      </c>
      <c r="C139" s="0" t="n">
        <v>1336</v>
      </c>
      <c r="D139" s="0" t="n">
        <v>488</v>
      </c>
    </row>
    <row r="140" customFormat="false" ht="13.8" hidden="false" customHeight="false" outlineLevel="0" collapsed="false">
      <c r="A140" s="0" t="n">
        <v>137</v>
      </c>
      <c r="B140" s="0" t="n">
        <v>2022</v>
      </c>
      <c r="C140" s="0" t="n">
        <v>1264</v>
      </c>
      <c r="D140" s="0" t="n">
        <v>812</v>
      </c>
    </row>
    <row r="141" customFormat="false" ht="13.8" hidden="false" customHeight="false" outlineLevel="0" collapsed="false">
      <c r="A141" s="0" t="n">
        <v>138</v>
      </c>
      <c r="B141" s="0" t="n">
        <v>534</v>
      </c>
      <c r="C141" s="0" t="n">
        <v>1249</v>
      </c>
      <c r="D141" s="0" t="n">
        <v>781</v>
      </c>
    </row>
    <row r="142" customFormat="false" ht="13.8" hidden="false" customHeight="false" outlineLevel="0" collapsed="false">
      <c r="A142" s="0" t="n">
        <v>139</v>
      </c>
      <c r="B142" s="0" t="n">
        <v>3778</v>
      </c>
      <c r="C142" s="0" t="n">
        <v>1639</v>
      </c>
      <c r="D142" s="0" t="n">
        <v>671</v>
      </c>
    </row>
    <row r="143" customFormat="false" ht="13.8" hidden="false" customHeight="false" outlineLevel="0" collapsed="false">
      <c r="A143" s="0" t="n">
        <v>140</v>
      </c>
      <c r="B143" s="0" t="n">
        <v>1044</v>
      </c>
      <c r="C143" s="0" t="n">
        <v>974</v>
      </c>
      <c r="D143" s="0" t="n">
        <v>111</v>
      </c>
    </row>
    <row r="144" customFormat="false" ht="13.8" hidden="false" customHeight="false" outlineLevel="0" collapsed="false">
      <c r="A144" s="0" t="n">
        <v>141</v>
      </c>
      <c r="B144" s="0" t="n">
        <v>1081</v>
      </c>
      <c r="C144" s="0" t="n">
        <v>539</v>
      </c>
      <c r="D144" s="0" t="n">
        <v>680</v>
      </c>
    </row>
    <row r="145" customFormat="false" ht="13.8" hidden="false" customHeight="false" outlineLevel="0" collapsed="false">
      <c r="A145" s="0" t="n">
        <v>142</v>
      </c>
      <c r="B145" s="0" t="n">
        <v>1015</v>
      </c>
      <c r="C145" s="0" t="n">
        <v>203</v>
      </c>
      <c r="D145" s="0" t="n">
        <v>781</v>
      </c>
    </row>
    <row r="146" customFormat="false" ht="13.8" hidden="false" customHeight="false" outlineLevel="0" collapsed="false">
      <c r="A146" s="0" t="n">
        <v>143</v>
      </c>
      <c r="B146" s="0" t="n">
        <v>3699</v>
      </c>
      <c r="C146" s="0" t="n">
        <v>1099</v>
      </c>
      <c r="D146" s="0" t="n">
        <v>644</v>
      </c>
    </row>
    <row r="147" customFormat="false" ht="13.8" hidden="false" customHeight="false" outlineLevel="0" collapsed="false">
      <c r="A147" s="0" t="n">
        <v>144</v>
      </c>
      <c r="B147" s="0" t="n">
        <v>2705</v>
      </c>
      <c r="C147" s="0" t="n">
        <v>1276</v>
      </c>
      <c r="D147" s="0" t="n">
        <v>800</v>
      </c>
    </row>
    <row r="148" customFormat="false" ht="13.8" hidden="false" customHeight="false" outlineLevel="0" collapsed="false">
      <c r="A148" s="0" t="n">
        <v>145</v>
      </c>
      <c r="B148" s="0" t="n">
        <v>230</v>
      </c>
      <c r="C148" s="0" t="n">
        <v>1379</v>
      </c>
      <c r="D148" s="0" t="n">
        <v>289</v>
      </c>
    </row>
    <row r="149" customFormat="false" ht="13.8" hidden="false" customHeight="false" outlineLevel="0" collapsed="false">
      <c r="A149" s="0" t="n">
        <v>146</v>
      </c>
      <c r="B149" s="0" t="n">
        <v>89</v>
      </c>
      <c r="C149" s="0" t="n">
        <v>1815</v>
      </c>
      <c r="D149" s="0" t="n">
        <v>373</v>
      </c>
    </row>
    <row r="150" customFormat="false" ht="13.8" hidden="false" customHeight="false" outlineLevel="0" collapsed="false">
      <c r="A150" s="0" t="n">
        <v>147</v>
      </c>
      <c r="B150" s="0" t="n">
        <v>839</v>
      </c>
      <c r="C150" s="0" t="n">
        <v>1932</v>
      </c>
      <c r="D150" s="0" t="n">
        <v>502</v>
      </c>
    </row>
    <row r="151" customFormat="false" ht="13.8" hidden="false" customHeight="false" outlineLevel="0" collapsed="false">
      <c r="A151" s="0" t="n">
        <v>148</v>
      </c>
      <c r="B151" s="0" t="n">
        <v>3751</v>
      </c>
      <c r="C151" s="0" t="n">
        <v>1217</v>
      </c>
      <c r="D151" s="0" t="n">
        <v>475</v>
      </c>
    </row>
    <row r="152" customFormat="false" ht="13.8" hidden="false" customHeight="false" outlineLevel="0" collapsed="false">
      <c r="A152" s="0" t="n">
        <v>149</v>
      </c>
      <c r="B152" s="0" t="n">
        <v>281</v>
      </c>
      <c r="C152" s="0" t="n">
        <v>1620</v>
      </c>
      <c r="D152" s="0" t="n">
        <v>62</v>
      </c>
    </row>
    <row r="153" customFormat="false" ht="13.8" hidden="false" customHeight="false" outlineLevel="0" collapsed="false">
      <c r="A153" s="0" t="n">
        <v>150</v>
      </c>
      <c r="B153" s="0" t="n">
        <v>3062</v>
      </c>
      <c r="C153" s="0" t="n">
        <v>536</v>
      </c>
      <c r="D153" s="0" t="n">
        <v>622</v>
      </c>
    </row>
    <row r="154" customFormat="false" ht="13.8" hidden="false" customHeight="false" outlineLevel="0" collapsed="false">
      <c r="A154" s="0" t="n">
        <v>151</v>
      </c>
      <c r="B154" s="0" t="n">
        <v>1934</v>
      </c>
      <c r="C154" s="0" t="n">
        <v>936</v>
      </c>
      <c r="D154" s="0" t="n">
        <v>204</v>
      </c>
    </row>
    <row r="155" customFormat="false" ht="13.8" hidden="false" customHeight="false" outlineLevel="0" collapsed="false">
      <c r="A155" s="0" t="n">
        <v>152</v>
      </c>
      <c r="B155" s="0" t="n">
        <v>2154</v>
      </c>
      <c r="C155" s="0" t="n">
        <v>521</v>
      </c>
      <c r="D155" s="0" t="n">
        <v>430</v>
      </c>
    </row>
    <row r="156" customFormat="false" ht="13.8" hidden="false" customHeight="false" outlineLevel="0" collapsed="false">
      <c r="A156" s="0" t="n">
        <v>153</v>
      </c>
      <c r="B156" s="0" t="n">
        <v>3339</v>
      </c>
      <c r="C156" s="0" t="n">
        <v>463</v>
      </c>
      <c r="D156" s="0" t="n">
        <v>171</v>
      </c>
    </row>
    <row r="157" customFormat="false" ht="13.8" hidden="false" customHeight="false" outlineLevel="0" collapsed="false">
      <c r="A157" s="0" t="n">
        <v>154</v>
      </c>
      <c r="B157" s="0" t="n">
        <v>966</v>
      </c>
      <c r="C157" s="0" t="n">
        <v>1018</v>
      </c>
      <c r="D157" s="0" t="n">
        <v>47</v>
      </c>
    </row>
    <row r="158" customFormat="false" ht="13.8" hidden="false" customHeight="false" outlineLevel="0" collapsed="false">
      <c r="A158" s="0" t="n">
        <v>155</v>
      </c>
      <c r="B158" s="0" t="n">
        <v>955</v>
      </c>
      <c r="C158" s="0" t="n">
        <v>575</v>
      </c>
      <c r="D158" s="0" t="n">
        <v>469</v>
      </c>
    </row>
    <row r="159" customFormat="false" ht="13.8" hidden="false" customHeight="false" outlineLevel="0" collapsed="false">
      <c r="A159" s="0" t="n">
        <v>156</v>
      </c>
      <c r="B159" s="0" t="n">
        <v>1981</v>
      </c>
      <c r="C159" s="0" t="n">
        <v>1734</v>
      </c>
      <c r="D159" s="0" t="n">
        <v>580</v>
      </c>
    </row>
    <row r="160" customFormat="false" ht="13.8" hidden="false" customHeight="false" outlineLevel="0" collapsed="false">
      <c r="A160" s="0" t="n">
        <v>157</v>
      </c>
      <c r="B160" s="0" t="n">
        <v>1057</v>
      </c>
      <c r="C160" s="0" t="n">
        <v>238</v>
      </c>
      <c r="D160" s="0" t="n">
        <v>445</v>
      </c>
    </row>
    <row r="161" customFormat="false" ht="13.8" hidden="false" customHeight="false" outlineLevel="0" collapsed="false">
      <c r="A161" s="0" t="n">
        <v>158</v>
      </c>
      <c r="B161" s="0" t="n">
        <v>556</v>
      </c>
      <c r="C161" s="0" t="n">
        <v>1362</v>
      </c>
      <c r="D161" s="0" t="n">
        <v>266</v>
      </c>
    </row>
    <row r="162" customFormat="false" ht="13.8" hidden="false" customHeight="false" outlineLevel="0" collapsed="false">
      <c r="A162" s="0" t="n">
        <v>159</v>
      </c>
      <c r="B162" s="0" t="n">
        <v>2937</v>
      </c>
      <c r="C162" s="0" t="n">
        <v>1102</v>
      </c>
      <c r="D162" s="0" t="n">
        <v>933</v>
      </c>
    </row>
    <row r="163" customFormat="false" ht="13.8" hidden="false" customHeight="false" outlineLevel="0" collapsed="false">
      <c r="A163" s="0" t="n">
        <v>160</v>
      </c>
      <c r="B163" s="0" t="n">
        <v>1683</v>
      </c>
      <c r="C163" s="0" t="n">
        <v>1197</v>
      </c>
      <c r="D163" s="0" t="n">
        <v>412</v>
      </c>
    </row>
    <row r="164" customFormat="false" ht="13.8" hidden="false" customHeight="false" outlineLevel="0" collapsed="false">
      <c r="A164" s="0" t="n">
        <v>161</v>
      </c>
      <c r="B164" s="0" t="n">
        <v>890</v>
      </c>
      <c r="C164" s="0" t="n">
        <v>1196</v>
      </c>
      <c r="D164" s="0" t="n">
        <v>963</v>
      </c>
    </row>
    <row r="165" customFormat="false" ht="13.8" hidden="false" customHeight="false" outlineLevel="0" collapsed="false">
      <c r="A165" s="0" t="n">
        <v>162</v>
      </c>
      <c r="B165" s="0" t="n">
        <v>2846</v>
      </c>
      <c r="C165" s="0" t="n">
        <v>1071</v>
      </c>
      <c r="D165" s="0" t="n">
        <v>356</v>
      </c>
    </row>
    <row r="166" customFormat="false" ht="13.8" hidden="false" customHeight="false" outlineLevel="0" collapsed="false">
      <c r="A166" s="0" t="n">
        <v>163</v>
      </c>
      <c r="B166" s="0" t="n">
        <v>2658</v>
      </c>
      <c r="C166" s="0" t="n">
        <v>224</v>
      </c>
      <c r="D166" s="0" t="n">
        <v>763</v>
      </c>
    </row>
    <row r="167" customFormat="false" ht="13.8" hidden="false" customHeight="false" outlineLevel="0" collapsed="false">
      <c r="A167" s="0" t="n">
        <v>164</v>
      </c>
      <c r="B167" s="0" t="n">
        <v>1823</v>
      </c>
      <c r="C167" s="0" t="n">
        <v>1949</v>
      </c>
      <c r="D167" s="0" t="n">
        <v>801</v>
      </c>
    </row>
    <row r="168" customFormat="false" ht="13.8" hidden="false" customHeight="false" outlineLevel="0" collapsed="false">
      <c r="A168" s="0" t="n">
        <v>165</v>
      </c>
      <c r="B168" s="0" t="n">
        <v>3590</v>
      </c>
      <c r="C168" s="0" t="n">
        <v>1840</v>
      </c>
      <c r="D168" s="0" t="n">
        <v>979</v>
      </c>
    </row>
    <row r="169" customFormat="false" ht="13.8" hidden="false" customHeight="false" outlineLevel="0" collapsed="false">
      <c r="A169" s="0" t="n">
        <v>166</v>
      </c>
      <c r="B169" s="0" t="n">
        <v>1930</v>
      </c>
      <c r="C169" s="0" t="n">
        <v>1571</v>
      </c>
      <c r="D169" s="0" t="n">
        <v>794</v>
      </c>
    </row>
    <row r="170" customFormat="false" ht="13.8" hidden="false" customHeight="false" outlineLevel="0" collapsed="false">
      <c r="A170" s="0" t="n">
        <v>167</v>
      </c>
      <c r="B170" s="0" t="n">
        <v>1948</v>
      </c>
      <c r="C170" s="0" t="n">
        <v>447</v>
      </c>
      <c r="D170" s="0" t="n">
        <v>253</v>
      </c>
    </row>
    <row r="171" customFormat="false" ht="13.8" hidden="false" customHeight="false" outlineLevel="0" collapsed="false">
      <c r="A171" s="0" t="n">
        <v>168</v>
      </c>
      <c r="B171" s="0" t="n">
        <v>1463</v>
      </c>
      <c r="C171" s="0" t="n">
        <v>1249</v>
      </c>
      <c r="D171" s="0" t="n">
        <v>683</v>
      </c>
    </row>
    <row r="172" customFormat="false" ht="13.8" hidden="false" customHeight="false" outlineLevel="0" collapsed="false">
      <c r="A172" s="0" t="n">
        <v>169</v>
      </c>
      <c r="B172" s="0" t="n">
        <v>3652</v>
      </c>
      <c r="C172" s="0" t="n">
        <v>1850</v>
      </c>
      <c r="D172" s="0" t="n">
        <v>679</v>
      </c>
    </row>
    <row r="173" customFormat="false" ht="13.8" hidden="false" customHeight="false" outlineLevel="0" collapsed="false">
      <c r="A173" s="0" t="n">
        <v>170</v>
      </c>
      <c r="B173" s="0" t="n">
        <v>689</v>
      </c>
      <c r="C173" s="0" t="n">
        <v>817</v>
      </c>
      <c r="D173" s="0" t="n">
        <v>3</v>
      </c>
    </row>
    <row r="174" customFormat="false" ht="13.8" hidden="false" customHeight="false" outlineLevel="0" collapsed="false">
      <c r="A174" s="0" t="n">
        <v>171</v>
      </c>
      <c r="B174" s="0" t="n">
        <v>2897</v>
      </c>
      <c r="C174" s="0" t="n">
        <v>33</v>
      </c>
      <c r="D174" s="0" t="n">
        <v>55</v>
      </c>
    </row>
    <row r="175" customFormat="false" ht="13.8" hidden="false" customHeight="false" outlineLevel="0" collapsed="false">
      <c r="A175" s="0" t="n">
        <v>172</v>
      </c>
      <c r="B175" s="0" t="n">
        <v>1658</v>
      </c>
      <c r="C175" s="0" t="n">
        <v>1294</v>
      </c>
      <c r="D175" s="0" t="n">
        <v>205</v>
      </c>
    </row>
    <row r="176" customFormat="false" ht="13.8" hidden="false" customHeight="false" outlineLevel="0" collapsed="false">
      <c r="A176" s="0" t="n">
        <v>173</v>
      </c>
      <c r="B176" s="0" t="n">
        <v>1965</v>
      </c>
      <c r="C176" s="0" t="n">
        <v>1071</v>
      </c>
      <c r="D176" s="0" t="n">
        <v>738</v>
      </c>
    </row>
    <row r="177" customFormat="false" ht="13.8" hidden="false" customHeight="false" outlineLevel="0" collapsed="false">
      <c r="A177" s="0" t="n">
        <v>174</v>
      </c>
      <c r="B177" s="0" t="n">
        <v>225</v>
      </c>
      <c r="C177" s="0" t="n">
        <v>196</v>
      </c>
      <c r="D177" s="0" t="n">
        <v>448</v>
      </c>
    </row>
    <row r="178" customFormat="false" ht="13.8" hidden="false" customHeight="false" outlineLevel="0" collapsed="false">
      <c r="A178" s="0" t="n">
        <v>175</v>
      </c>
      <c r="B178" s="0" t="n">
        <v>872</v>
      </c>
      <c r="C178" s="0" t="n">
        <v>124</v>
      </c>
      <c r="D178" s="0" t="n">
        <v>119</v>
      </c>
    </row>
    <row r="179" customFormat="false" ht="13.8" hidden="false" customHeight="false" outlineLevel="0" collapsed="false">
      <c r="A179" s="0" t="n">
        <v>176</v>
      </c>
      <c r="B179" s="0" t="n">
        <v>1259</v>
      </c>
      <c r="C179" s="0" t="n">
        <v>1231</v>
      </c>
      <c r="D179" s="0" t="n">
        <v>707</v>
      </c>
    </row>
    <row r="180" customFormat="false" ht="13.8" hidden="false" customHeight="false" outlineLevel="0" collapsed="false">
      <c r="A180" s="0" t="n">
        <v>177</v>
      </c>
      <c r="B180" s="0" t="n">
        <v>580</v>
      </c>
      <c r="C180" s="0" t="n">
        <v>945</v>
      </c>
      <c r="D180" s="0" t="n">
        <v>469</v>
      </c>
    </row>
    <row r="181" customFormat="false" ht="13.8" hidden="false" customHeight="false" outlineLevel="0" collapsed="false">
      <c r="A181" s="0" t="n">
        <v>178</v>
      </c>
      <c r="B181" s="0" t="n">
        <v>276</v>
      </c>
      <c r="C181" s="0" t="n">
        <v>706</v>
      </c>
      <c r="D181" s="0" t="n">
        <v>485</v>
      </c>
    </row>
    <row r="182" customFormat="false" ht="13.8" hidden="false" customHeight="false" outlineLevel="0" collapsed="false">
      <c r="A182" s="0" t="n">
        <v>179</v>
      </c>
      <c r="B182" s="0" t="n">
        <v>2154</v>
      </c>
      <c r="C182" s="0" t="n">
        <v>154</v>
      </c>
      <c r="D182" s="0" t="n">
        <v>250</v>
      </c>
    </row>
    <row r="183" customFormat="false" ht="13.8" hidden="false" customHeight="false" outlineLevel="0" collapsed="false">
      <c r="A183" s="0" t="n">
        <v>180</v>
      </c>
      <c r="B183" s="0" t="n">
        <v>649</v>
      </c>
      <c r="C183" s="0" t="n">
        <v>651</v>
      </c>
      <c r="D183" s="0" t="n">
        <v>622</v>
      </c>
    </row>
    <row r="184" customFormat="false" ht="13.8" hidden="false" customHeight="false" outlineLevel="0" collapsed="false">
      <c r="A184" s="0" t="n">
        <v>181</v>
      </c>
      <c r="B184" s="0" t="n">
        <v>2155</v>
      </c>
      <c r="C184" s="0" t="n">
        <v>483</v>
      </c>
      <c r="D184" s="0" t="n">
        <v>378</v>
      </c>
    </row>
    <row r="185" customFormat="false" ht="13.8" hidden="false" customHeight="false" outlineLevel="0" collapsed="false">
      <c r="A185" s="0" t="n">
        <v>182</v>
      </c>
      <c r="B185" s="0" t="n">
        <v>3234</v>
      </c>
      <c r="C185" s="0" t="n">
        <v>497</v>
      </c>
      <c r="D185" s="0" t="n">
        <v>577</v>
      </c>
    </row>
    <row r="186" customFormat="false" ht="13.8" hidden="false" customHeight="false" outlineLevel="0" collapsed="false">
      <c r="A186" s="0" t="n">
        <v>183</v>
      </c>
      <c r="B186" s="0" t="n">
        <v>1328</v>
      </c>
      <c r="C186" s="0" t="n">
        <v>1317</v>
      </c>
      <c r="D186" s="0" t="n">
        <v>501</v>
      </c>
    </row>
    <row r="187" customFormat="false" ht="13.8" hidden="false" customHeight="false" outlineLevel="0" collapsed="false">
      <c r="A187" s="0" t="n">
        <v>184</v>
      </c>
      <c r="B187" s="0" t="n">
        <v>2071</v>
      </c>
      <c r="C187" s="0" t="n">
        <v>1121</v>
      </c>
      <c r="D187" s="0" t="n">
        <v>168</v>
      </c>
    </row>
    <row r="188" customFormat="false" ht="13.8" hidden="false" customHeight="false" outlineLevel="0" collapsed="false">
      <c r="A188" s="0" t="n">
        <v>185</v>
      </c>
      <c r="B188" s="0" t="n">
        <v>2558</v>
      </c>
      <c r="C188" s="0" t="n">
        <v>1381</v>
      </c>
      <c r="D188" s="0" t="n">
        <v>547</v>
      </c>
    </row>
    <row r="189" customFormat="false" ht="13.8" hidden="false" customHeight="false" outlineLevel="0" collapsed="false">
      <c r="A189" s="0" t="n">
        <v>186</v>
      </c>
      <c r="B189" s="0" t="n">
        <v>2858</v>
      </c>
      <c r="C189" s="0" t="n">
        <v>342</v>
      </c>
      <c r="D189" s="0" t="n">
        <v>987</v>
      </c>
    </row>
    <row r="190" customFormat="false" ht="13.8" hidden="false" customHeight="false" outlineLevel="0" collapsed="false">
      <c r="A190" s="0" t="n">
        <v>187</v>
      </c>
      <c r="B190" s="0" t="n">
        <v>3441</v>
      </c>
      <c r="C190" s="0" t="n">
        <v>1637</v>
      </c>
      <c r="D190" s="0" t="n">
        <v>385</v>
      </c>
    </row>
    <row r="191" customFormat="false" ht="13.8" hidden="false" customHeight="false" outlineLevel="0" collapsed="false">
      <c r="A191" s="0" t="n">
        <v>188</v>
      </c>
      <c r="B191" s="0" t="n">
        <v>3494</v>
      </c>
      <c r="C191" s="0" t="n">
        <v>111</v>
      </c>
      <c r="D191" s="0" t="n">
        <v>810</v>
      </c>
    </row>
    <row r="192" customFormat="false" ht="13.8" hidden="false" customHeight="false" outlineLevel="0" collapsed="false">
      <c r="A192" s="0" t="n">
        <v>189</v>
      </c>
      <c r="B192" s="0" t="n">
        <v>1428</v>
      </c>
      <c r="C192" s="0" t="n">
        <v>1248</v>
      </c>
      <c r="D192" s="0" t="n">
        <v>640</v>
      </c>
    </row>
    <row r="193" customFormat="false" ht="13.8" hidden="false" customHeight="false" outlineLevel="0" collapsed="false">
      <c r="A193" s="0" t="n">
        <v>190</v>
      </c>
      <c r="B193" s="0" t="n">
        <v>3215</v>
      </c>
      <c r="C193" s="0" t="n">
        <v>1940</v>
      </c>
      <c r="D193" s="0" t="n">
        <v>246</v>
      </c>
    </row>
    <row r="194" customFormat="false" ht="13.8" hidden="false" customHeight="false" outlineLevel="0" collapsed="false">
      <c r="A194" s="0" t="n">
        <v>191</v>
      </c>
      <c r="B194" s="0" t="n">
        <v>1173</v>
      </c>
      <c r="C194" s="0" t="n">
        <v>1405</v>
      </c>
      <c r="D194" s="0" t="n">
        <v>582</v>
      </c>
    </row>
    <row r="195" customFormat="false" ht="13.8" hidden="false" customHeight="false" outlineLevel="0" collapsed="false">
      <c r="A195" s="0" t="n">
        <v>192</v>
      </c>
      <c r="B195" s="0" t="n">
        <v>2968</v>
      </c>
      <c r="C195" s="0" t="n">
        <v>964</v>
      </c>
      <c r="D195" s="0" t="n">
        <v>298</v>
      </c>
    </row>
    <row r="196" customFormat="false" ht="13.8" hidden="false" customHeight="false" outlineLevel="0" collapsed="false">
      <c r="A196" s="0" t="n">
        <v>193</v>
      </c>
      <c r="B196" s="0" t="n">
        <v>3777</v>
      </c>
      <c r="C196" s="0" t="n">
        <v>1549</v>
      </c>
      <c r="D196" s="0" t="n">
        <v>992</v>
      </c>
    </row>
    <row r="197" customFormat="false" ht="13.8" hidden="false" customHeight="false" outlineLevel="0" collapsed="false">
      <c r="A197" s="0" t="n">
        <v>194</v>
      </c>
      <c r="B197" s="0" t="n">
        <v>3113</v>
      </c>
      <c r="C197" s="0" t="n">
        <v>1814</v>
      </c>
      <c r="D197" s="0" t="n">
        <v>751</v>
      </c>
    </row>
    <row r="198" customFormat="false" ht="13.8" hidden="false" customHeight="false" outlineLevel="0" collapsed="false">
      <c r="A198" s="0" t="n">
        <v>195</v>
      </c>
      <c r="B198" s="0" t="n">
        <v>1216</v>
      </c>
      <c r="C198" s="0" t="n">
        <v>1739</v>
      </c>
      <c r="D198" s="0" t="n">
        <v>914</v>
      </c>
    </row>
    <row r="199" customFormat="false" ht="13.8" hidden="false" customHeight="false" outlineLevel="0" collapsed="false">
      <c r="A199" s="0" t="n">
        <v>196</v>
      </c>
      <c r="B199" s="0" t="n">
        <v>3589</v>
      </c>
      <c r="C199" s="0" t="n">
        <v>1369</v>
      </c>
      <c r="D199" s="0" t="n">
        <v>245</v>
      </c>
    </row>
    <row r="200" customFormat="false" ht="13.8" hidden="false" customHeight="false" outlineLevel="0" collapsed="false">
      <c r="A200" s="0" t="n">
        <v>197</v>
      </c>
      <c r="B200" s="0" t="n">
        <v>518</v>
      </c>
      <c r="C200" s="0" t="n">
        <v>452</v>
      </c>
      <c r="D200" s="0" t="n">
        <v>520</v>
      </c>
    </row>
    <row r="201" customFormat="false" ht="13.8" hidden="false" customHeight="false" outlineLevel="0" collapsed="false">
      <c r="A201" s="0" t="n">
        <v>198</v>
      </c>
      <c r="B201" s="0" t="n">
        <v>1522</v>
      </c>
      <c r="C201" s="0" t="n">
        <v>1830</v>
      </c>
      <c r="D201" s="0" t="n">
        <v>435</v>
      </c>
    </row>
    <row r="202" customFormat="false" ht="13.8" hidden="false" customHeight="false" outlineLevel="0" collapsed="false">
      <c r="A202" s="0" t="n">
        <v>199</v>
      </c>
      <c r="B202" s="0" t="n">
        <v>3513</v>
      </c>
      <c r="C202" s="0" t="n">
        <v>1808</v>
      </c>
      <c r="D202" s="0" t="n">
        <v>999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  <Company>LG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2023-12-05T11:18:46Z</dcterms:created>
  <dc:creator>Andrzej Jaszkiewicz</dc:creator>
  <dc:description/>
  <dc:language>en-US</dc:language>
  <cp:lastModifiedBy/>
  <dcterms:modified xsi:type="dcterms:W3CDTF">2026-10-17T15:19:00Z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LG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